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enerator" sheetId="1" state="visible" r:id="rId1"/>
    <sheet xmlns:r="http://schemas.openxmlformats.org/officeDocument/2006/relationships" name="All Recipes" sheetId="2" state="visible" r:id="rId2"/>
    <sheet xmlns:r="http://schemas.openxmlformats.org/officeDocument/2006/relationships" name="Read Me" sheetId="3" state="visible" r:id="rId3"/>
  </sheets>
  <definedNames>
    <definedName name="_xlnm._FilterDatabase" localSheetId="1" hidden="1">'All Recipes'!$A$1:$F$554</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Arial"/>
      <b val="1"/>
      <color rgb="FF1F3B4D"/>
      <sz val="16"/>
    </font>
    <font>
      <name val="Arial"/>
      <i val="1"/>
      <color rgb="FF5A6B73"/>
      <sz val="10"/>
    </font>
    <font>
      <name val="Calibri"/>
      <color theme="1"/>
      <sz val="11"/>
    </font>
    <font>
      <name val="Arial"/>
      <b val="1"/>
      <color rgb="FFFFFFFF"/>
      <sz val="11"/>
    </font>
    <font>
      <name val="Arial"/>
      <b val="1"/>
      <color theme="1"/>
      <sz val="11"/>
    </font>
    <font>
      <name val="Arial"/>
      <i val="1"/>
      <color rgb="FF5A6B73"/>
      <sz val="9"/>
    </font>
    <font>
      <name val="Arial"/>
      <b val="1"/>
      <color rgb="FFB00020"/>
      <sz val="11"/>
    </font>
    <font>
      <name val="Arial"/>
      <color theme="1"/>
      <sz val="10"/>
    </font>
    <font>
      <name val="Arial"/>
      <b val="1"/>
      <color rgb="FF1F3B4D"/>
      <sz val="12"/>
    </font>
    <font/>
    <font>
      <name val="Arial"/>
      <color rgb="FF1155CC"/>
      <sz val="10"/>
      <u val="single"/>
    </font>
    <font>
      <name val="Arial"/>
      <color rgb="FF1155CC"/>
      <sz val="10"/>
      <u val="single"/>
    </font>
    <font>
      <name val="Noto Sans"/>
      <color theme="1"/>
      <sz val="10"/>
    </font>
  </fonts>
  <fills count="11">
    <fill>
      <patternFill/>
    </fill>
    <fill>
      <patternFill patternType="lightGray"/>
    </fill>
    <fill>
      <patternFill patternType="solid">
        <fgColor rgb="FF1F3B4D"/>
        <bgColor rgb="FF1F3B4D"/>
      </patternFill>
    </fill>
    <fill>
      <patternFill patternType="solid">
        <fgColor rgb="FFFCE8D5"/>
        <bgColor rgb="FFFCE8D5"/>
      </patternFill>
    </fill>
    <fill>
      <patternFill patternType="solid">
        <fgColor rgb="FFFFF3CD"/>
        <bgColor rgb="FFFFF3CD"/>
      </patternFill>
    </fill>
    <fill>
      <patternFill patternType="solid">
        <fgColor rgb="FFE2EFDA"/>
        <bgColor rgb="FFE2EFDA"/>
      </patternFill>
    </fill>
    <fill>
      <patternFill patternType="solid">
        <fgColor rgb="FFDEEAF6"/>
        <bgColor rgb="FFDEEAF6"/>
      </patternFill>
    </fill>
    <fill>
      <patternFill patternType="solid">
        <fgColor rgb="FFEEF3F6"/>
        <bgColor rgb="FFEEF3F6"/>
      </patternFill>
    </fill>
    <fill>
      <patternFill patternType="solid">
        <fgColor rgb="FFFBE0E0"/>
        <bgColor rgb="FFFBE0E0"/>
      </patternFill>
    </fill>
    <fill>
      <patternFill patternType="solid">
        <fgColor rgb="FFE2F0D9"/>
        <bgColor rgb="FFE2F0D9"/>
      </patternFill>
    </fill>
    <fill>
      <patternFill patternType="solid">
        <fgColor rgb="FFEDEDED"/>
        <bgColor rgb="FFEDEDED"/>
      </patternFill>
    </fill>
  </fills>
  <borders count="6">
    <border/>
    <border>
      <left style="thin">
        <color rgb="FFD5DCE0"/>
      </left>
      <right style="thin">
        <color rgb="FFD5DCE0"/>
      </right>
      <top style="thin">
        <color rgb="FFD5DCE0"/>
      </top>
      <bottom style="thin">
        <color rgb="FFD5DCE0"/>
      </bottom>
    </border>
    <border>
      <left/>
      <top/>
      <bottom/>
    </border>
    <border>
      <top/>
      <bottom/>
    </border>
    <border>
      <right/>
      <top/>
      <bottom/>
    </border>
    <border>
      <left/>
      <right/>
      <top/>
      <bottom/>
    </border>
  </borders>
  <cellStyleXfs count="1">
    <xf numFmtId="0" fontId="0" fillId="0" borderId="0"/>
  </cellStyleXfs>
  <cellXfs count="40">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1" applyAlignment="1" pivotButton="0" quotePrefix="0" xfId="0">
      <alignment vertical="bottom"/>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5" fillId="0"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6" fillId="0" borderId="0" applyAlignment="1" pivotButton="0" quotePrefix="0" xfId="0">
      <alignment vertical="bottom"/>
    </xf>
    <xf numFmtId="0" fontId="7" fillId="0" borderId="0" applyAlignment="1" pivotButton="0" quotePrefix="0" xfId="0">
      <alignment vertical="bottom"/>
    </xf>
    <xf numFmtId="0" fontId="8" fillId="0" borderId="0" applyAlignment="1" pivotButton="0" quotePrefix="0" xfId="0">
      <alignment vertical="bottom"/>
    </xf>
    <xf numFmtId="0" fontId="9" fillId="3" borderId="2" applyAlignment="1" pivotButton="0" quotePrefix="0" xfId="0">
      <alignment vertical="bottom"/>
    </xf>
    <xf numFmtId="0" fontId="10" fillId="0" borderId="3" pivotButton="0" quotePrefix="0" xfId="0"/>
    <xf numFmtId="0" fontId="10" fillId="0" borderId="4" pivotButton="0" quotePrefix="0" xfId="0"/>
    <xf numFmtId="0" fontId="4" fillId="2" borderId="1" applyAlignment="1" pivotButton="0" quotePrefix="0" xfId="0">
      <alignment horizontal="left" vertical="center"/>
    </xf>
    <xf numFmtId="0" fontId="8" fillId="0" borderId="1" applyAlignment="1" pivotButton="0" quotePrefix="0" xfId="0">
      <alignment horizontal="center" vertical="top"/>
    </xf>
    <xf numFmtId="0" fontId="8" fillId="0" borderId="1" applyAlignment="1" pivotButton="0" quotePrefix="0" xfId="0">
      <alignment vertical="top" wrapText="1"/>
    </xf>
    <xf numFmtId="0" fontId="11" fillId="0" borderId="1" applyAlignment="1" pivotButton="0" quotePrefix="0" xfId="0">
      <alignment vertical="top" wrapText="1"/>
    </xf>
    <xf numFmtId="0" fontId="3" fillId="0" borderId="0" applyAlignment="1" pivotButton="0" quotePrefix="0" xfId="0">
      <alignment vertical="bottom"/>
    </xf>
    <xf numFmtId="0" fontId="8" fillId="7" borderId="1" applyAlignment="1" pivotButton="0" quotePrefix="0" xfId="0">
      <alignment horizontal="center" vertical="top"/>
    </xf>
    <xf numFmtId="0" fontId="8" fillId="7" borderId="1" applyAlignment="1" pivotButton="0" quotePrefix="0" xfId="0">
      <alignment vertical="top" wrapText="1"/>
    </xf>
    <xf numFmtId="0" fontId="12" fillId="7" borderId="1" applyAlignment="1" pivotButton="0" quotePrefix="0" xfId="0">
      <alignment vertical="top" wrapText="1"/>
    </xf>
    <xf numFmtId="0" fontId="9" fillId="5" borderId="2" applyAlignment="1" pivotButton="0" quotePrefix="0" xfId="0">
      <alignment vertical="bottom"/>
    </xf>
    <xf numFmtId="0" fontId="9" fillId="6" borderId="2" applyAlignment="1" pivotButton="0" quotePrefix="0" xfId="0">
      <alignment vertical="bottom"/>
    </xf>
    <xf numFmtId="0" fontId="3" fillId="8" borderId="1" applyAlignment="1" pivotButton="0" quotePrefix="0" xfId="0">
      <alignment horizontal="center" vertical="top"/>
    </xf>
    <xf numFmtId="0" fontId="8" fillId="0" borderId="1" applyAlignment="1" pivotButton="0" quotePrefix="0" xfId="0">
      <alignment vertical="bottom"/>
    </xf>
    <xf numFmtId="0" fontId="8" fillId="7" borderId="1" applyAlignment="1" pivotButton="0" quotePrefix="0" xfId="0">
      <alignment vertical="bottom"/>
    </xf>
    <xf numFmtId="0" fontId="3" fillId="9" borderId="1" applyAlignment="1" pivotButton="0" quotePrefix="0" xfId="0">
      <alignment horizontal="center" vertical="top"/>
    </xf>
    <xf numFmtId="0" fontId="3" fillId="6" borderId="1" applyAlignment="1" pivotButton="0" quotePrefix="0" xfId="0">
      <alignment horizontal="center" vertical="top"/>
    </xf>
    <xf numFmtId="0" fontId="13" fillId="0" borderId="1" applyAlignment="1" pivotButton="0" quotePrefix="0" xfId="0">
      <alignment vertical="top" wrapText="1"/>
    </xf>
    <xf numFmtId="0" fontId="13" fillId="7" borderId="1" applyAlignment="1" pivotButton="0" quotePrefix="0" xfId="0">
      <alignment vertical="top" wrapText="1"/>
    </xf>
    <xf numFmtId="0" fontId="3" fillId="10" borderId="1" applyAlignment="1" pivotButton="0" quotePrefix="0" xfId="0">
      <alignment horizontal="center" vertical="top"/>
    </xf>
    <xf numFmtId="0" fontId="5" fillId="0" borderId="0" applyAlignment="1" pivotButton="0" quotePrefix="0" xfId="0">
      <alignment vertical="top" wrapText="1"/>
    </xf>
    <xf numFmtId="0" fontId="8" fillId="0" borderId="0" applyAlignment="1" pivotButton="0" quotePrefix="0" xfId="0">
      <alignment vertical="top" wrapText="1"/>
    </xf>
    <xf numFmtId="0" fontId="0" fillId="0" borderId="0" pivotButton="0" quotePrefix="0" xfId="0"/>
    <xf numFmtId="0" fontId="9" fillId="3" borderId="5" applyAlignment="1" pivotButton="0" quotePrefix="0" xfId="0">
      <alignment vertical="bottom"/>
    </xf>
    <xf numFmtId="0" fontId="9" fillId="5" borderId="5" applyAlignment="1" pivotButton="0" quotePrefix="0" xfId="0">
      <alignment vertical="bottom"/>
    </xf>
    <xf numFmtId="0" fontId="9" fillId="6" borderId="5"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54"/>
  <sheetViews>
    <sheetView showGridLines="0" workbookViewId="0">
      <pane ySplit="10" topLeftCell="A11" activePane="bottomLeft" state="frozen"/>
      <selection pane="bottomLeft" activeCell="B12" sqref="B12"/>
    </sheetView>
  </sheetViews>
  <sheetFormatPr baseColWidth="8" defaultColWidth="14.43" defaultRowHeight="15" customHeight="1"/>
  <cols>
    <col width="5" customWidth="1" style="36" min="1" max="1"/>
    <col width="12" customWidth="1" style="36" min="2" max="2"/>
    <col width="34" customWidth="1" style="36" min="3" max="3"/>
    <col width="60" customWidth="1" style="36" min="4" max="4"/>
    <col width="46" customWidth="1" style="36" min="5" max="5"/>
    <col hidden="1" width="13" customWidth="1" style="36" min="6" max="7"/>
    <col width="8.710000000000001" customWidth="1" style="36" min="8" max="26"/>
  </cols>
  <sheetData>
    <row r="1">
      <c r="A1" s="1" t="inlineStr">
        <is>
          <t>🍽  Weekly Meal Generator — by cuisine</t>
        </is>
      </c>
    </row>
    <row r="2">
      <c r="A2" s="2" t="inlineStr">
        <is>
          <t>Type how many of each cuisine you want per meal. Each row can total anything (e.g. 7).</t>
        </is>
      </c>
    </row>
    <row r="4">
      <c r="A4" s="3" t="n"/>
      <c r="B4" s="4" t="inlineStr">
        <is>
          <t>Asian</t>
        </is>
      </c>
      <c r="C4" s="4" t="inlineStr">
        <is>
          <t>Chinese</t>
        </is>
      </c>
      <c r="D4" s="4" t="inlineStr">
        <is>
          <t>Western</t>
        </is>
      </c>
      <c r="E4" s="4" t="inlineStr">
        <is>
          <t>Total</t>
        </is>
      </c>
    </row>
    <row r="5">
      <c r="A5" s="5" t="inlineStr">
        <is>
          <t>Breakfast</t>
        </is>
      </c>
      <c r="B5" s="6" t="n">
        <v>2</v>
      </c>
      <c r="C5" s="6" t="n">
        <v>2</v>
      </c>
      <c r="D5" s="6" t="n">
        <v>3</v>
      </c>
      <c r="E5" s="7">
        <f>SUM(B5:D5)</f>
        <v/>
      </c>
    </row>
    <row r="6">
      <c r="A6" s="8" t="inlineStr">
        <is>
          <t>Lunch</t>
        </is>
      </c>
      <c r="B6" s="6" t="n">
        <v>3</v>
      </c>
      <c r="C6" s="6" t="n">
        <v>2</v>
      </c>
      <c r="D6" s="6" t="n">
        <v>2</v>
      </c>
      <c r="E6" s="7">
        <f>SUM(B6:D6)</f>
        <v/>
      </c>
    </row>
    <row r="7">
      <c r="A7" s="9" t="inlineStr">
        <is>
          <t>Dinner</t>
        </is>
      </c>
      <c r="B7" s="6" t="n">
        <v>2</v>
      </c>
      <c r="C7" s="6" t="n">
        <v>3</v>
      </c>
      <c r="D7" s="6" t="n">
        <v>2</v>
      </c>
      <c r="E7" s="7">
        <f>SUM(B7:D7)</f>
        <v/>
      </c>
    </row>
    <row r="8">
      <c r="A8" s="10" t="inlineStr">
        <is>
          <t>Max available →</t>
        </is>
      </c>
      <c r="B8" s="10" t="inlineStr">
        <is>
          <t>B 3 / L 26 / D 89</t>
        </is>
      </c>
      <c r="C8" s="10" t="inlineStr">
        <is>
          <t>B 2 / L 26 / D160</t>
        </is>
      </c>
      <c r="D8" s="10" t="inlineStr">
        <is>
          <t>B 11 / L 44 / D 58</t>
        </is>
      </c>
    </row>
    <row r="9">
      <c r="A9" s="11" t="inlineStr">
        <is>
          <t>↻ Reshuffle:</t>
        </is>
      </c>
      <c r="B9" s="12" t="inlineStr">
        <is>
          <t>tap a cell, type a space, Enter, delete — refreshes all picks.</t>
        </is>
      </c>
    </row>
    <row r="11">
      <c r="A11" s="37" t="inlineStr">
        <is>
          <t>🥐  BREAKFAST</t>
        </is>
      </c>
    </row>
    <row r="12">
      <c r="A12" s="4" t="inlineStr">
        <is>
          <t>#</t>
        </is>
      </c>
      <c r="B12" s="4" t="inlineStr">
        <is>
          <t>Cuisine</t>
        </is>
      </c>
      <c r="C12" s="16" t="inlineStr">
        <is>
          <t>Recipe</t>
        </is>
      </c>
      <c r="D12" s="16" t="inlineStr">
        <is>
          <t>Ingredients</t>
        </is>
      </c>
      <c r="E12" s="4" t="inlineStr">
        <is>
          <t>Recipe link</t>
        </is>
      </c>
    </row>
    <row r="13">
      <c r="A13" s="17">
        <f>IF($F13=0,"",1)</f>
        <v/>
      </c>
      <c r="B13" s="17">
        <f>IF($F13=0,"",IF($F13=1,"Asian",IF($F13=2,"Chinese","Western")))</f>
        <v/>
      </c>
      <c r="C13" s="18">
        <f t="array" ref="C13">IFERROR(IF($F13=1,INDEX('All Recipes'!$A$2:$A$554,MATCH(LARGE('All Recipes'!$G$2:$G$554,$G13),'All Recipes'!$G$2:$G$554,0)),IF($F13=2,INDEX('All Recipes'!$A$2:$A$554,MATCH(LARGE('All Recipes'!$H$2:$H$554,$G13),'All Recipes'!$H$2:$H$554,0)),IF($F13=3,INDEX('All Recipes'!$A$2:$A$554,MATCH(LARGE('All Recipes'!$I$2:$I$554,$G13),'All Recipes'!$I$2:$I$554,0)),""))),"")</f>
        <v/>
      </c>
      <c r="D13" s="18">
        <f t="array" ref="D13">IFERROR(IF($F13=1,INDEX('All Recipes'!$B$2:$B$554,MATCH(LARGE('All Recipes'!$G$2:$G$554,$G13),'All Recipes'!$G$2:$G$554,0)),IF($F13=2,INDEX('All Recipes'!$B$2:$B$554,MATCH(LARGE('All Recipes'!$H$2:$H$554,$G13),'All Recipes'!$H$2:$H$554,0)),IF($F13=3,INDEX('All Recipes'!$B$2:$B$554,MATCH(LARGE('All Recipes'!$I$2:$I$554,$G13),'All Recipes'!$I$2:$I$554,0)),""))),"")</f>
        <v/>
      </c>
      <c r="E13" s="19">
        <f t="array" ref="E13">IFERROR(IF($F13=1,INDEX('All Recipes'!$F$2:$F$554,MATCH(LARGE('All Recipes'!$G$2:$G$554,$G13),'All Recipes'!$G$2:$G$554,0)),IF($F13=2,INDEX('All Recipes'!$F$2:$F$554,MATCH(LARGE('All Recipes'!$H$2:$H$554,$G13),'All Recipes'!$H$2:$H$554,0)),IF($F13=3,INDEX('All Recipes'!$F$2:$F$554,MATCH(LARGE('All Recipes'!$I$2:$I$554,$G13),'All Recipes'!$I$2:$I$554,0)),""))),"")</f>
        <v/>
      </c>
      <c r="F13" s="20">
        <f>IF(1&lt;=$B$5,1,IF(1&lt;=$B$5+$C$5,2,IF(1&lt;=$B$5+$C$5+$D$5,3,0)))</f>
        <v/>
      </c>
      <c r="G13" s="20">
        <f>IF(1&lt;=$B$5,1,IF(1&lt;=$B$5+$C$5,1-$B$5,IF(1&lt;=$B$5+$C$5+$D$5,1-$B$5-$C$5,0)))</f>
        <v/>
      </c>
    </row>
    <row r="14">
      <c r="A14" s="21">
        <f>IF($F14=0,"",2)</f>
        <v/>
      </c>
      <c r="B14" s="21">
        <f>IF($F14=0,"",IF($F14=1,"Asian",IF($F14=2,"Chinese","Western")))</f>
        <v/>
      </c>
      <c r="C14" s="22">
        <f t="array" ref="C14">IFERROR(IF($F14=1,INDEX('All Recipes'!$A$2:$A$554,MATCH(LARGE('All Recipes'!$G$2:$G$554,$G14),'All Recipes'!$G$2:$G$554,0)),IF($F14=2,INDEX('All Recipes'!$A$2:$A$554,MATCH(LARGE('All Recipes'!$H$2:$H$554,$G14),'All Recipes'!$H$2:$H$554,0)),IF($F14=3,INDEX('All Recipes'!$A$2:$A$554,MATCH(LARGE('All Recipes'!$I$2:$I$554,$G14),'All Recipes'!$I$2:$I$554,0)),""))),"")</f>
        <v/>
      </c>
      <c r="D14" s="22">
        <f t="array" ref="D14">IFERROR(IF($F14=1,INDEX('All Recipes'!$B$2:$B$554,MATCH(LARGE('All Recipes'!$G$2:$G$554,$G14),'All Recipes'!$G$2:$G$554,0)),IF($F14=2,INDEX('All Recipes'!$B$2:$B$554,MATCH(LARGE('All Recipes'!$H$2:$H$554,$G14),'All Recipes'!$H$2:$H$554,0)),IF($F14=3,INDEX('All Recipes'!$B$2:$B$554,MATCH(LARGE('All Recipes'!$I$2:$I$554,$G14),'All Recipes'!$I$2:$I$554,0)),""))),"")</f>
        <v/>
      </c>
      <c r="E14" s="23">
        <f t="array" ref="E14">IFERROR(IF($F14=1,INDEX('All Recipes'!$F$2:$F$554,MATCH(LARGE('All Recipes'!$G$2:$G$554,$G14),'All Recipes'!$G$2:$G$554,0)),IF($F14=2,INDEX('All Recipes'!$F$2:$F$554,MATCH(LARGE('All Recipes'!$H$2:$H$554,$G14),'All Recipes'!$H$2:$H$554,0)),IF($F14=3,INDEX('All Recipes'!$F$2:$F$554,MATCH(LARGE('All Recipes'!$I$2:$I$554,$G14),'All Recipes'!$I$2:$I$554,0)),""))),"")</f>
        <v/>
      </c>
      <c r="F14" s="20">
        <f>IF(2&lt;=$B$5,1,IF(2&lt;=$B$5+$C$5,2,IF(2&lt;=$B$5+$C$5+$D$5,3,0)))</f>
        <v/>
      </c>
      <c r="G14" s="20">
        <f>IF(2&lt;=$B$5,2,IF(2&lt;=$B$5+$C$5,2-$B$5,IF(2&lt;=$B$5+$C$5+$D$5,2-$B$5-$C$5,0)))</f>
        <v/>
      </c>
    </row>
    <row r="15">
      <c r="A15" s="17">
        <f>IF($F15=0,"",3)</f>
        <v/>
      </c>
      <c r="B15" s="17">
        <f>IF($F15=0,"",IF($F15=1,"Asian",IF($F15=2,"Chinese","Western")))</f>
        <v/>
      </c>
      <c r="C15" s="18">
        <f t="array" ref="C15">IFERROR(IF($F15=1,INDEX('All Recipes'!$A$2:$A$554,MATCH(LARGE('All Recipes'!$G$2:$G$554,$G15),'All Recipes'!$G$2:$G$554,0)),IF($F15=2,INDEX('All Recipes'!$A$2:$A$554,MATCH(LARGE('All Recipes'!$H$2:$H$554,$G15),'All Recipes'!$H$2:$H$554,0)),IF($F15=3,INDEX('All Recipes'!$A$2:$A$554,MATCH(LARGE('All Recipes'!$I$2:$I$554,$G15),'All Recipes'!$I$2:$I$554,0)),""))),"")</f>
        <v/>
      </c>
      <c r="D15" s="18">
        <f t="array" ref="D15">IFERROR(IF($F15=1,INDEX('All Recipes'!$B$2:$B$554,MATCH(LARGE('All Recipes'!$G$2:$G$554,$G15),'All Recipes'!$G$2:$G$554,0)),IF($F15=2,INDEX('All Recipes'!$B$2:$B$554,MATCH(LARGE('All Recipes'!$H$2:$H$554,$G15),'All Recipes'!$H$2:$H$554,0)),IF($F15=3,INDEX('All Recipes'!$B$2:$B$554,MATCH(LARGE('All Recipes'!$I$2:$I$554,$G15),'All Recipes'!$I$2:$I$554,0)),""))),"")</f>
        <v/>
      </c>
      <c r="E15" s="19">
        <f t="array" ref="E15">IFERROR(IF($F15=1,INDEX('All Recipes'!$F$2:$F$554,MATCH(LARGE('All Recipes'!$G$2:$G$554,$G15),'All Recipes'!$G$2:$G$554,0)),IF($F15=2,INDEX('All Recipes'!$F$2:$F$554,MATCH(LARGE('All Recipes'!$H$2:$H$554,$G15),'All Recipes'!$H$2:$H$554,0)),IF($F15=3,INDEX('All Recipes'!$F$2:$F$554,MATCH(LARGE('All Recipes'!$I$2:$I$554,$G15),'All Recipes'!$I$2:$I$554,0)),""))),"")</f>
        <v/>
      </c>
      <c r="F15" s="20">
        <f>IF(3&lt;=$B$5,1,IF(3&lt;=$B$5+$C$5,2,IF(3&lt;=$B$5+$C$5+$D$5,3,0)))</f>
        <v/>
      </c>
      <c r="G15" s="20">
        <f>IF(3&lt;=$B$5,3,IF(3&lt;=$B$5+$C$5,3-$B$5,IF(3&lt;=$B$5+$C$5+$D$5,3-$B$5-$C$5,0)))</f>
        <v/>
      </c>
    </row>
    <row r="16">
      <c r="A16" s="21">
        <f>IF($F16=0,"",4)</f>
        <v/>
      </c>
      <c r="B16" s="21">
        <f>IF($F16=0,"",IF($F16=1,"Asian",IF($F16=2,"Chinese","Western")))</f>
        <v/>
      </c>
      <c r="C16" s="22">
        <f t="array" ref="C16">IFERROR(IF($F16=1,INDEX('All Recipes'!$A$2:$A$554,MATCH(LARGE('All Recipes'!$G$2:$G$554,$G16),'All Recipes'!$G$2:$G$554,0)),IF($F16=2,INDEX('All Recipes'!$A$2:$A$554,MATCH(LARGE('All Recipes'!$H$2:$H$554,$G16),'All Recipes'!$H$2:$H$554,0)),IF($F16=3,INDEX('All Recipes'!$A$2:$A$554,MATCH(LARGE('All Recipes'!$I$2:$I$554,$G16),'All Recipes'!$I$2:$I$554,0)),""))),"")</f>
        <v/>
      </c>
      <c r="D16" s="22">
        <f t="array" ref="D16">IFERROR(IF($F16=1,INDEX('All Recipes'!$B$2:$B$554,MATCH(LARGE('All Recipes'!$G$2:$G$554,$G16),'All Recipes'!$G$2:$G$554,0)),IF($F16=2,INDEX('All Recipes'!$B$2:$B$554,MATCH(LARGE('All Recipes'!$H$2:$H$554,$G16),'All Recipes'!$H$2:$H$554,0)),IF($F16=3,INDEX('All Recipes'!$B$2:$B$554,MATCH(LARGE('All Recipes'!$I$2:$I$554,$G16),'All Recipes'!$I$2:$I$554,0)),""))),"")</f>
        <v/>
      </c>
      <c r="E16" s="23">
        <f t="array" ref="E16">IFERROR(IF($F16=1,INDEX('All Recipes'!$F$2:$F$554,MATCH(LARGE('All Recipes'!$G$2:$G$554,$G16),'All Recipes'!$G$2:$G$554,0)),IF($F16=2,INDEX('All Recipes'!$F$2:$F$554,MATCH(LARGE('All Recipes'!$H$2:$H$554,$G16),'All Recipes'!$H$2:$H$554,0)),IF($F16=3,INDEX('All Recipes'!$F$2:$F$554,MATCH(LARGE('All Recipes'!$I$2:$I$554,$G16),'All Recipes'!$I$2:$I$554,0)),""))),"")</f>
        <v/>
      </c>
      <c r="F16" s="20">
        <f>IF(4&lt;=$B$5,1,IF(4&lt;=$B$5+$C$5,2,IF(4&lt;=$B$5+$C$5+$D$5,3,0)))</f>
        <v/>
      </c>
      <c r="G16" s="20">
        <f>IF(4&lt;=$B$5,4,IF(4&lt;=$B$5+$C$5,4-$B$5,IF(4&lt;=$B$5+$C$5+$D$5,4-$B$5-$C$5,0)))</f>
        <v/>
      </c>
    </row>
    <row r="17">
      <c r="A17" s="17">
        <f>IF($F17=0,"",5)</f>
        <v/>
      </c>
      <c r="B17" s="17">
        <f>IF($F17=0,"",IF($F17=1,"Asian",IF($F17=2,"Chinese","Western")))</f>
        <v/>
      </c>
      <c r="C17" s="18">
        <f t="array" ref="C17">IFERROR(IF($F17=1,INDEX('All Recipes'!$A$2:$A$554,MATCH(LARGE('All Recipes'!$G$2:$G$554,$G17),'All Recipes'!$G$2:$G$554,0)),IF($F17=2,INDEX('All Recipes'!$A$2:$A$554,MATCH(LARGE('All Recipes'!$H$2:$H$554,$G17),'All Recipes'!$H$2:$H$554,0)),IF($F17=3,INDEX('All Recipes'!$A$2:$A$554,MATCH(LARGE('All Recipes'!$I$2:$I$554,$G17),'All Recipes'!$I$2:$I$554,0)),""))),"")</f>
        <v/>
      </c>
      <c r="D17" s="18">
        <f t="array" ref="D17">IFERROR(IF($F17=1,INDEX('All Recipes'!$B$2:$B$554,MATCH(LARGE('All Recipes'!$G$2:$G$554,$G17),'All Recipes'!$G$2:$G$554,0)),IF($F17=2,INDEX('All Recipes'!$B$2:$B$554,MATCH(LARGE('All Recipes'!$H$2:$H$554,$G17),'All Recipes'!$H$2:$H$554,0)),IF($F17=3,INDEX('All Recipes'!$B$2:$B$554,MATCH(LARGE('All Recipes'!$I$2:$I$554,$G17),'All Recipes'!$I$2:$I$554,0)),""))),"")</f>
        <v/>
      </c>
      <c r="E17" s="19">
        <f t="array" ref="E17">IFERROR(IF($F17=1,INDEX('All Recipes'!$F$2:$F$554,MATCH(LARGE('All Recipes'!$G$2:$G$554,$G17),'All Recipes'!$G$2:$G$554,0)),IF($F17=2,INDEX('All Recipes'!$F$2:$F$554,MATCH(LARGE('All Recipes'!$H$2:$H$554,$G17),'All Recipes'!$H$2:$H$554,0)),IF($F17=3,INDEX('All Recipes'!$F$2:$F$554,MATCH(LARGE('All Recipes'!$I$2:$I$554,$G17),'All Recipes'!$I$2:$I$554,0)),""))),"")</f>
        <v/>
      </c>
      <c r="F17" s="20">
        <f>IF(5&lt;=$B$5,1,IF(5&lt;=$B$5+$C$5,2,IF(5&lt;=$B$5+$C$5+$D$5,3,0)))</f>
        <v/>
      </c>
      <c r="G17" s="20">
        <f>IF(5&lt;=$B$5,5,IF(5&lt;=$B$5+$C$5,5-$B$5,IF(5&lt;=$B$5+$C$5+$D$5,5-$B$5-$C$5,0)))</f>
        <v/>
      </c>
    </row>
    <row r="18">
      <c r="A18" s="21">
        <f>IF($F18=0,"",6)</f>
        <v/>
      </c>
      <c r="B18" s="21">
        <f>IF($F18=0,"",IF($F18=1,"Asian",IF($F18=2,"Chinese","Western")))</f>
        <v/>
      </c>
      <c r="C18" s="22">
        <f t="array" ref="C18">IFERROR(IF($F18=1,INDEX('All Recipes'!$A$2:$A$554,MATCH(LARGE('All Recipes'!$G$2:$G$554,$G18),'All Recipes'!$G$2:$G$554,0)),IF($F18=2,INDEX('All Recipes'!$A$2:$A$554,MATCH(LARGE('All Recipes'!$H$2:$H$554,$G18),'All Recipes'!$H$2:$H$554,0)),IF($F18=3,INDEX('All Recipes'!$A$2:$A$554,MATCH(LARGE('All Recipes'!$I$2:$I$554,$G18),'All Recipes'!$I$2:$I$554,0)),""))),"")</f>
        <v/>
      </c>
      <c r="D18" s="22">
        <f t="array" ref="D18">IFERROR(IF($F18=1,INDEX('All Recipes'!$B$2:$B$554,MATCH(LARGE('All Recipes'!$G$2:$G$554,$G18),'All Recipes'!$G$2:$G$554,0)),IF($F18=2,INDEX('All Recipes'!$B$2:$B$554,MATCH(LARGE('All Recipes'!$H$2:$H$554,$G18),'All Recipes'!$H$2:$H$554,0)),IF($F18=3,INDEX('All Recipes'!$B$2:$B$554,MATCH(LARGE('All Recipes'!$I$2:$I$554,$G18),'All Recipes'!$I$2:$I$554,0)),""))),"")</f>
        <v/>
      </c>
      <c r="E18" s="23">
        <f t="array" ref="E18">IFERROR(IF($F18=1,INDEX('All Recipes'!$F$2:$F$554,MATCH(LARGE('All Recipes'!$G$2:$G$554,$G18),'All Recipes'!$G$2:$G$554,0)),IF($F18=2,INDEX('All Recipes'!$F$2:$F$554,MATCH(LARGE('All Recipes'!$H$2:$H$554,$G18),'All Recipes'!$H$2:$H$554,0)),IF($F18=3,INDEX('All Recipes'!$F$2:$F$554,MATCH(LARGE('All Recipes'!$I$2:$I$554,$G18),'All Recipes'!$I$2:$I$554,0)),""))),"")</f>
        <v/>
      </c>
      <c r="F18" s="20">
        <f>IF(6&lt;=$B$5,1,IF(6&lt;=$B$5+$C$5,2,IF(6&lt;=$B$5+$C$5+$D$5,3,0)))</f>
        <v/>
      </c>
      <c r="G18" s="20">
        <f>IF(6&lt;=$B$5,6,IF(6&lt;=$B$5+$C$5,6-$B$5,IF(6&lt;=$B$5+$C$5+$D$5,6-$B$5-$C$5,0)))</f>
        <v/>
      </c>
    </row>
    <row r="19">
      <c r="A19" s="17">
        <f>IF($F19=0,"",7)</f>
        <v/>
      </c>
      <c r="B19" s="17">
        <f>IF($F19=0,"",IF($F19=1,"Asian",IF($F19=2,"Chinese","Western")))</f>
        <v/>
      </c>
      <c r="C19" s="18">
        <f t="array" ref="C19">IFERROR(IF($F19=1,INDEX('All Recipes'!$A$2:$A$554,MATCH(LARGE('All Recipes'!$G$2:$G$554,$G19),'All Recipes'!$G$2:$G$554,0)),IF($F19=2,INDEX('All Recipes'!$A$2:$A$554,MATCH(LARGE('All Recipes'!$H$2:$H$554,$G19),'All Recipes'!$H$2:$H$554,0)),IF($F19=3,INDEX('All Recipes'!$A$2:$A$554,MATCH(LARGE('All Recipes'!$I$2:$I$554,$G19),'All Recipes'!$I$2:$I$554,0)),""))),"")</f>
        <v/>
      </c>
      <c r="D19" s="18">
        <f t="array" ref="D19">IFERROR(IF($F19=1,INDEX('All Recipes'!$B$2:$B$554,MATCH(LARGE('All Recipes'!$G$2:$G$554,$G19),'All Recipes'!$G$2:$G$554,0)),IF($F19=2,INDEX('All Recipes'!$B$2:$B$554,MATCH(LARGE('All Recipes'!$H$2:$H$554,$G19),'All Recipes'!$H$2:$H$554,0)),IF($F19=3,INDEX('All Recipes'!$B$2:$B$554,MATCH(LARGE('All Recipes'!$I$2:$I$554,$G19),'All Recipes'!$I$2:$I$554,0)),""))),"")</f>
        <v/>
      </c>
      <c r="E19" s="19">
        <f t="array" ref="E19">IFERROR(IF($F19=1,INDEX('All Recipes'!$F$2:$F$554,MATCH(LARGE('All Recipes'!$G$2:$G$554,$G19),'All Recipes'!$G$2:$G$554,0)),IF($F19=2,INDEX('All Recipes'!$F$2:$F$554,MATCH(LARGE('All Recipes'!$H$2:$H$554,$G19),'All Recipes'!$H$2:$H$554,0)),IF($F19=3,INDEX('All Recipes'!$F$2:$F$554,MATCH(LARGE('All Recipes'!$I$2:$I$554,$G19),'All Recipes'!$I$2:$I$554,0)),""))),"")</f>
        <v/>
      </c>
      <c r="F19" s="20">
        <f>IF(7&lt;=$B$5,1,IF(7&lt;=$B$5+$C$5,2,IF(7&lt;=$B$5+$C$5+$D$5,3,0)))</f>
        <v/>
      </c>
      <c r="G19" s="20">
        <f>IF(7&lt;=$B$5,7,IF(7&lt;=$B$5+$C$5,7-$B$5,IF(7&lt;=$B$5+$C$5+$D$5,7-$B$5-$C$5,0)))</f>
        <v/>
      </c>
    </row>
    <row r="20">
      <c r="A20" s="21">
        <f>IF($F20=0,"",8)</f>
        <v/>
      </c>
      <c r="B20" s="21">
        <f>IF($F20=0,"",IF($F20=1,"Asian",IF($F20=2,"Chinese","Western")))</f>
        <v/>
      </c>
      <c r="C20" s="22">
        <f t="array" ref="C20">IFERROR(IF($F20=1,INDEX('All Recipes'!$A$2:$A$554,MATCH(LARGE('All Recipes'!$G$2:$G$554,$G20),'All Recipes'!$G$2:$G$554,0)),IF($F20=2,INDEX('All Recipes'!$A$2:$A$554,MATCH(LARGE('All Recipes'!$H$2:$H$554,$G20),'All Recipes'!$H$2:$H$554,0)),IF($F20=3,INDEX('All Recipes'!$A$2:$A$554,MATCH(LARGE('All Recipes'!$I$2:$I$554,$G20),'All Recipes'!$I$2:$I$554,0)),""))),"")</f>
        <v/>
      </c>
      <c r="D20" s="22">
        <f t="array" ref="D20">IFERROR(IF($F20=1,INDEX('All Recipes'!$B$2:$B$554,MATCH(LARGE('All Recipes'!$G$2:$G$554,$G20),'All Recipes'!$G$2:$G$554,0)),IF($F20=2,INDEX('All Recipes'!$B$2:$B$554,MATCH(LARGE('All Recipes'!$H$2:$H$554,$G20),'All Recipes'!$H$2:$H$554,0)),IF($F20=3,INDEX('All Recipes'!$B$2:$B$554,MATCH(LARGE('All Recipes'!$I$2:$I$554,$G20),'All Recipes'!$I$2:$I$554,0)),""))),"")</f>
        <v/>
      </c>
      <c r="E20" s="23">
        <f t="array" ref="E20">IFERROR(IF($F20=1,INDEX('All Recipes'!$F$2:$F$554,MATCH(LARGE('All Recipes'!$G$2:$G$554,$G20),'All Recipes'!$G$2:$G$554,0)),IF($F20=2,INDEX('All Recipes'!$F$2:$F$554,MATCH(LARGE('All Recipes'!$H$2:$H$554,$G20),'All Recipes'!$H$2:$H$554,0)),IF($F20=3,INDEX('All Recipes'!$F$2:$F$554,MATCH(LARGE('All Recipes'!$I$2:$I$554,$G20),'All Recipes'!$I$2:$I$554,0)),""))),"")</f>
        <v/>
      </c>
      <c r="F20" s="20">
        <f>IF(8&lt;=$B$5,1,IF(8&lt;=$B$5+$C$5,2,IF(8&lt;=$B$5+$C$5+$D$5,3,0)))</f>
        <v/>
      </c>
      <c r="G20" s="20">
        <f>IF(8&lt;=$B$5,8,IF(8&lt;=$B$5+$C$5,8-$B$5,IF(8&lt;=$B$5+$C$5+$D$5,8-$B$5-$C$5,0)))</f>
        <v/>
      </c>
    </row>
    <row r="21" ht="15.75" customHeight="1" s="36">
      <c r="A21" s="17">
        <f>IF($F21=0,"",9)</f>
        <v/>
      </c>
      <c r="B21" s="17">
        <f>IF($F21=0,"",IF($F21=1,"Asian",IF($F21=2,"Chinese","Western")))</f>
        <v/>
      </c>
      <c r="C21" s="18">
        <f t="array" ref="C21">IFERROR(IF($F21=1,INDEX('All Recipes'!$A$2:$A$554,MATCH(LARGE('All Recipes'!$G$2:$G$554,$G21),'All Recipes'!$G$2:$G$554,0)),IF($F21=2,INDEX('All Recipes'!$A$2:$A$554,MATCH(LARGE('All Recipes'!$H$2:$H$554,$G21),'All Recipes'!$H$2:$H$554,0)),IF($F21=3,INDEX('All Recipes'!$A$2:$A$554,MATCH(LARGE('All Recipes'!$I$2:$I$554,$G21),'All Recipes'!$I$2:$I$554,0)),""))),"")</f>
        <v/>
      </c>
      <c r="D21" s="18">
        <f t="array" ref="D21">IFERROR(IF($F21=1,INDEX('All Recipes'!$B$2:$B$554,MATCH(LARGE('All Recipes'!$G$2:$G$554,$G21),'All Recipes'!$G$2:$G$554,0)),IF($F21=2,INDEX('All Recipes'!$B$2:$B$554,MATCH(LARGE('All Recipes'!$H$2:$H$554,$G21),'All Recipes'!$H$2:$H$554,0)),IF($F21=3,INDEX('All Recipes'!$B$2:$B$554,MATCH(LARGE('All Recipes'!$I$2:$I$554,$G21),'All Recipes'!$I$2:$I$554,0)),""))),"")</f>
        <v/>
      </c>
      <c r="E21" s="19">
        <f t="array" ref="E21">IFERROR(IF($F21=1,INDEX('All Recipes'!$F$2:$F$554,MATCH(LARGE('All Recipes'!$G$2:$G$554,$G21),'All Recipes'!$G$2:$G$554,0)),IF($F21=2,INDEX('All Recipes'!$F$2:$F$554,MATCH(LARGE('All Recipes'!$H$2:$H$554,$G21),'All Recipes'!$H$2:$H$554,0)),IF($F21=3,INDEX('All Recipes'!$F$2:$F$554,MATCH(LARGE('All Recipes'!$I$2:$I$554,$G21),'All Recipes'!$I$2:$I$554,0)),""))),"")</f>
        <v/>
      </c>
      <c r="F21" s="20">
        <f>IF(9&lt;=$B$5,1,IF(9&lt;=$B$5+$C$5,2,IF(9&lt;=$B$5+$C$5+$D$5,3,0)))</f>
        <v/>
      </c>
      <c r="G21" s="20">
        <f>IF(9&lt;=$B$5,9,IF(9&lt;=$B$5+$C$5,9-$B$5,IF(9&lt;=$B$5+$C$5+$D$5,9-$B$5-$C$5,0)))</f>
        <v/>
      </c>
    </row>
    <row r="22" ht="15.75" customHeight="1" s="36">
      <c r="A22" s="21">
        <f>IF($F22=0,"",10)</f>
        <v/>
      </c>
      <c r="B22" s="21">
        <f>IF($F22=0,"",IF($F22=1,"Asian",IF($F22=2,"Chinese","Western")))</f>
        <v/>
      </c>
      <c r="C22" s="22">
        <f t="array" ref="C22">IFERROR(IF($F22=1,INDEX('All Recipes'!$A$2:$A$554,MATCH(LARGE('All Recipes'!$G$2:$G$554,$G22),'All Recipes'!$G$2:$G$554,0)),IF($F22=2,INDEX('All Recipes'!$A$2:$A$554,MATCH(LARGE('All Recipes'!$H$2:$H$554,$G22),'All Recipes'!$H$2:$H$554,0)),IF($F22=3,INDEX('All Recipes'!$A$2:$A$554,MATCH(LARGE('All Recipes'!$I$2:$I$554,$G22),'All Recipes'!$I$2:$I$554,0)),""))),"")</f>
        <v/>
      </c>
      <c r="D22" s="22">
        <f t="array" ref="D22">IFERROR(IF($F22=1,INDEX('All Recipes'!$B$2:$B$554,MATCH(LARGE('All Recipes'!$G$2:$G$554,$G22),'All Recipes'!$G$2:$G$554,0)),IF($F22=2,INDEX('All Recipes'!$B$2:$B$554,MATCH(LARGE('All Recipes'!$H$2:$H$554,$G22),'All Recipes'!$H$2:$H$554,0)),IF($F22=3,INDEX('All Recipes'!$B$2:$B$554,MATCH(LARGE('All Recipes'!$I$2:$I$554,$G22),'All Recipes'!$I$2:$I$554,0)),""))),"")</f>
        <v/>
      </c>
      <c r="E22" s="23">
        <f t="array" ref="E22">IFERROR(IF($F22=1,INDEX('All Recipes'!$F$2:$F$554,MATCH(LARGE('All Recipes'!$G$2:$G$554,$G22),'All Recipes'!$G$2:$G$554,0)),IF($F22=2,INDEX('All Recipes'!$F$2:$F$554,MATCH(LARGE('All Recipes'!$H$2:$H$554,$G22),'All Recipes'!$H$2:$H$554,0)),IF($F22=3,INDEX('All Recipes'!$F$2:$F$554,MATCH(LARGE('All Recipes'!$I$2:$I$554,$G22),'All Recipes'!$I$2:$I$554,0)),""))),"")</f>
        <v/>
      </c>
      <c r="F22" s="20">
        <f>IF(10&lt;=$B$5,1,IF(10&lt;=$B$5+$C$5,2,IF(10&lt;=$B$5+$C$5+$D$5,3,0)))</f>
        <v/>
      </c>
      <c r="G22" s="20">
        <f>IF(10&lt;=$B$5,10,IF(10&lt;=$B$5+$C$5,10-$B$5,IF(10&lt;=$B$5+$C$5+$D$5,10-$B$5-$C$5,0)))</f>
        <v/>
      </c>
    </row>
    <row r="23" ht="15.75" customHeight="1" s="36">
      <c r="A23" s="17">
        <f>IF($F23=0,"",11)</f>
        <v/>
      </c>
      <c r="B23" s="17">
        <f>IF($F23=0,"",IF($F23=1,"Asian",IF($F23=2,"Chinese","Western")))</f>
        <v/>
      </c>
      <c r="C23" s="18">
        <f t="array" ref="C23">IFERROR(IF($F23=1,INDEX('All Recipes'!$A$2:$A$554,MATCH(LARGE('All Recipes'!$G$2:$G$554,$G23),'All Recipes'!$G$2:$G$554,0)),IF($F23=2,INDEX('All Recipes'!$A$2:$A$554,MATCH(LARGE('All Recipes'!$H$2:$H$554,$G23),'All Recipes'!$H$2:$H$554,0)),IF($F23=3,INDEX('All Recipes'!$A$2:$A$554,MATCH(LARGE('All Recipes'!$I$2:$I$554,$G23),'All Recipes'!$I$2:$I$554,0)),""))),"")</f>
        <v/>
      </c>
      <c r="D23" s="18">
        <f t="array" ref="D23">IFERROR(IF($F23=1,INDEX('All Recipes'!$B$2:$B$554,MATCH(LARGE('All Recipes'!$G$2:$G$554,$G23),'All Recipes'!$G$2:$G$554,0)),IF($F23=2,INDEX('All Recipes'!$B$2:$B$554,MATCH(LARGE('All Recipes'!$H$2:$H$554,$G23),'All Recipes'!$H$2:$H$554,0)),IF($F23=3,INDEX('All Recipes'!$B$2:$B$554,MATCH(LARGE('All Recipes'!$I$2:$I$554,$G23),'All Recipes'!$I$2:$I$554,0)),""))),"")</f>
        <v/>
      </c>
      <c r="E23" s="19">
        <f t="array" ref="E23">IFERROR(IF($F23=1,INDEX('All Recipes'!$F$2:$F$554,MATCH(LARGE('All Recipes'!$G$2:$G$554,$G23),'All Recipes'!$G$2:$G$554,0)),IF($F23=2,INDEX('All Recipes'!$F$2:$F$554,MATCH(LARGE('All Recipes'!$H$2:$H$554,$G23),'All Recipes'!$H$2:$H$554,0)),IF($F23=3,INDEX('All Recipes'!$F$2:$F$554,MATCH(LARGE('All Recipes'!$I$2:$I$554,$G23),'All Recipes'!$I$2:$I$554,0)),""))),"")</f>
        <v/>
      </c>
      <c r="F23" s="20">
        <f>IF(11&lt;=$B$5,1,IF(11&lt;=$B$5+$C$5,2,IF(11&lt;=$B$5+$C$5+$D$5,3,0)))</f>
        <v/>
      </c>
      <c r="G23" s="20">
        <f>IF(11&lt;=$B$5,11,IF(11&lt;=$B$5+$C$5,11-$B$5,IF(11&lt;=$B$5+$C$5+$D$5,11-$B$5-$C$5,0)))</f>
        <v/>
      </c>
    </row>
    <row r="24" ht="15.75" customHeight="1" s="36">
      <c r="A24" s="21">
        <f>IF($F24=0,"",12)</f>
        <v/>
      </c>
      <c r="B24" s="21">
        <f>IF($F24=0,"",IF($F24=1,"Asian",IF($F24=2,"Chinese","Western")))</f>
        <v/>
      </c>
      <c r="C24" s="22">
        <f t="array" ref="C24">IFERROR(IF($F24=1,INDEX('All Recipes'!$A$2:$A$554,MATCH(LARGE('All Recipes'!$G$2:$G$554,$G24),'All Recipes'!$G$2:$G$554,0)),IF($F24=2,INDEX('All Recipes'!$A$2:$A$554,MATCH(LARGE('All Recipes'!$H$2:$H$554,$G24),'All Recipes'!$H$2:$H$554,0)),IF($F24=3,INDEX('All Recipes'!$A$2:$A$554,MATCH(LARGE('All Recipes'!$I$2:$I$554,$G24),'All Recipes'!$I$2:$I$554,0)),""))),"")</f>
        <v/>
      </c>
      <c r="D24" s="22">
        <f t="array" ref="D24">IFERROR(IF($F24=1,INDEX('All Recipes'!$B$2:$B$554,MATCH(LARGE('All Recipes'!$G$2:$G$554,$G24),'All Recipes'!$G$2:$G$554,0)),IF($F24=2,INDEX('All Recipes'!$B$2:$B$554,MATCH(LARGE('All Recipes'!$H$2:$H$554,$G24),'All Recipes'!$H$2:$H$554,0)),IF($F24=3,INDEX('All Recipes'!$B$2:$B$554,MATCH(LARGE('All Recipes'!$I$2:$I$554,$G24),'All Recipes'!$I$2:$I$554,0)),""))),"")</f>
        <v/>
      </c>
      <c r="E24" s="23">
        <f t="array" ref="E24">IFERROR(IF($F24=1,INDEX('All Recipes'!$F$2:$F$554,MATCH(LARGE('All Recipes'!$G$2:$G$554,$G24),'All Recipes'!$G$2:$G$554,0)),IF($F24=2,INDEX('All Recipes'!$F$2:$F$554,MATCH(LARGE('All Recipes'!$H$2:$H$554,$G24),'All Recipes'!$H$2:$H$554,0)),IF($F24=3,INDEX('All Recipes'!$F$2:$F$554,MATCH(LARGE('All Recipes'!$I$2:$I$554,$G24),'All Recipes'!$I$2:$I$554,0)),""))),"")</f>
        <v/>
      </c>
      <c r="F24" s="20">
        <f>IF(12&lt;=$B$5,1,IF(12&lt;=$B$5+$C$5,2,IF(12&lt;=$B$5+$C$5+$D$5,3,0)))</f>
        <v/>
      </c>
      <c r="G24" s="20">
        <f>IF(12&lt;=$B$5,12,IF(12&lt;=$B$5+$C$5,12-$B$5,IF(12&lt;=$B$5+$C$5+$D$5,12-$B$5-$C$5,0)))</f>
        <v/>
      </c>
    </row>
    <row r="25" ht="15.75" customHeight="1" s="36"/>
    <row r="26" ht="15.75" customHeight="1" s="36">
      <c r="A26" s="38" t="inlineStr">
        <is>
          <t>🥗  LUNCH</t>
        </is>
      </c>
    </row>
    <row r="27" ht="15.75" customHeight="1" s="36">
      <c r="A27" s="4" t="inlineStr">
        <is>
          <t>#</t>
        </is>
      </c>
      <c r="B27" s="4" t="inlineStr">
        <is>
          <t>Cuisine</t>
        </is>
      </c>
      <c r="C27" s="16" t="inlineStr">
        <is>
          <t>Recipe</t>
        </is>
      </c>
      <c r="D27" s="16" t="inlineStr">
        <is>
          <t>Ingredients</t>
        </is>
      </c>
      <c r="E27" s="4" t="inlineStr">
        <is>
          <t>Recipe link</t>
        </is>
      </c>
    </row>
    <row r="28" ht="15.75" customHeight="1" s="36">
      <c r="A28" s="17">
        <f>IF($F28=0,"",1)</f>
        <v/>
      </c>
      <c r="B28" s="17">
        <f>IF($F28=0,"",IF($F28=1,"Asian",IF($F28=2,"Chinese","Western")))</f>
        <v/>
      </c>
      <c r="C28" s="18">
        <f t="array" ref="C28">IFERROR(IF($F28=1,INDEX('All Recipes'!$A$2:$A$554,MATCH(LARGE('All Recipes'!$J$2:$J$554,$G28),'All Recipes'!$J$2:$J$554,0)),IF($F28=2,INDEX('All Recipes'!$A$2:$A$554,MATCH(LARGE('All Recipes'!$K$2:$K$554,$G28),'All Recipes'!$K$2:$K$554,0)),IF($F28=3,INDEX('All Recipes'!$A$2:$A$554,MATCH(LARGE('All Recipes'!$L$2:$L$554,$G28),'All Recipes'!$L$2:$L$554,0)),""))),"")</f>
        <v/>
      </c>
      <c r="D28" s="18">
        <f t="array" ref="D28">IFERROR(IF($F28=1,INDEX('All Recipes'!$B$2:$B$554,MATCH(LARGE('All Recipes'!$J$2:$J$554,$G28),'All Recipes'!$J$2:$J$554,0)),IF($F28=2,INDEX('All Recipes'!$B$2:$B$554,MATCH(LARGE('All Recipes'!$K$2:$K$554,$G28),'All Recipes'!$K$2:$K$554,0)),IF($F28=3,INDEX('All Recipes'!$B$2:$B$554,MATCH(LARGE('All Recipes'!$L$2:$L$554,$G28),'All Recipes'!$L$2:$L$554,0)),""))),"")</f>
        <v/>
      </c>
      <c r="E28" s="19">
        <f t="array" ref="E28">IFERROR(IF($F28=1,INDEX('All Recipes'!$F$2:$F$554,MATCH(LARGE('All Recipes'!$J$2:$J$554,$G28),'All Recipes'!$J$2:$J$554,0)),IF($F28=2,INDEX('All Recipes'!$F$2:$F$554,MATCH(LARGE('All Recipes'!$K$2:$K$554,$G28),'All Recipes'!$K$2:$K$554,0)),IF($F28=3,INDEX('All Recipes'!$F$2:$F$554,MATCH(LARGE('All Recipes'!$L$2:$L$554,$G28),'All Recipes'!$L$2:$L$554,0)),""))),"")</f>
        <v/>
      </c>
      <c r="F28" s="20">
        <f>IF(1&lt;=$B$6,1,IF(1&lt;=$B$6+$C$6,2,IF(1&lt;=$B$6+$C$6+$D$6,3,0)))</f>
        <v/>
      </c>
      <c r="G28" s="20">
        <f>IF(1&lt;=$B$6,1,IF(1&lt;=$B$6+$C$6,1-$B$6,IF(1&lt;=$B$6+$C$6+$D$6,1-$B$6-$C$6,0)))</f>
        <v/>
      </c>
    </row>
    <row r="29" ht="15.75" customHeight="1" s="36">
      <c r="A29" s="21">
        <f>IF($F29=0,"",2)</f>
        <v/>
      </c>
      <c r="B29" s="21">
        <f>IF($F29=0,"",IF($F29=1,"Asian",IF($F29=2,"Chinese","Western")))</f>
        <v/>
      </c>
      <c r="C29" s="22">
        <f t="array" ref="C29">IFERROR(IF($F29=1,INDEX('All Recipes'!$A$2:$A$554,MATCH(LARGE('All Recipes'!$J$2:$J$554,$G29),'All Recipes'!$J$2:$J$554,0)),IF($F29=2,INDEX('All Recipes'!$A$2:$A$554,MATCH(LARGE('All Recipes'!$K$2:$K$554,$G29),'All Recipes'!$K$2:$K$554,0)),IF($F29=3,INDEX('All Recipes'!$A$2:$A$554,MATCH(LARGE('All Recipes'!$L$2:$L$554,$G29),'All Recipes'!$L$2:$L$554,0)),""))),"")</f>
        <v/>
      </c>
      <c r="D29" s="22">
        <f t="array" ref="D29">IFERROR(IF($F29=1,INDEX('All Recipes'!$B$2:$B$554,MATCH(LARGE('All Recipes'!$J$2:$J$554,$G29),'All Recipes'!$J$2:$J$554,0)),IF($F29=2,INDEX('All Recipes'!$B$2:$B$554,MATCH(LARGE('All Recipes'!$K$2:$K$554,$G29),'All Recipes'!$K$2:$K$554,0)),IF($F29=3,INDEX('All Recipes'!$B$2:$B$554,MATCH(LARGE('All Recipes'!$L$2:$L$554,$G29),'All Recipes'!$L$2:$L$554,0)),""))),"")</f>
        <v/>
      </c>
      <c r="E29" s="23">
        <f t="array" ref="E29">IFERROR(IF($F29=1,INDEX('All Recipes'!$F$2:$F$554,MATCH(LARGE('All Recipes'!$J$2:$J$554,$G29),'All Recipes'!$J$2:$J$554,0)),IF($F29=2,INDEX('All Recipes'!$F$2:$F$554,MATCH(LARGE('All Recipes'!$K$2:$K$554,$G29),'All Recipes'!$K$2:$K$554,0)),IF($F29=3,INDEX('All Recipes'!$F$2:$F$554,MATCH(LARGE('All Recipes'!$L$2:$L$554,$G29),'All Recipes'!$L$2:$L$554,0)),""))),"")</f>
        <v/>
      </c>
      <c r="F29" s="20">
        <f>IF(2&lt;=$B$6,1,IF(2&lt;=$B$6+$C$6,2,IF(2&lt;=$B$6+$C$6+$D$6,3,0)))</f>
        <v/>
      </c>
      <c r="G29" s="20">
        <f>IF(2&lt;=$B$6,2,IF(2&lt;=$B$6+$C$6,2-$B$6,IF(2&lt;=$B$6+$C$6+$D$6,2-$B$6-$C$6,0)))</f>
        <v/>
      </c>
    </row>
    <row r="30" ht="15.75" customHeight="1" s="36">
      <c r="A30" s="17">
        <f>IF($F30=0,"",3)</f>
        <v/>
      </c>
      <c r="B30" s="17">
        <f>IF($F30=0,"",IF($F30=1,"Asian",IF($F30=2,"Chinese","Western")))</f>
        <v/>
      </c>
      <c r="C30" s="18">
        <f t="array" ref="C30">IFERROR(IF($F30=1,INDEX('All Recipes'!$A$2:$A$554,MATCH(LARGE('All Recipes'!$J$2:$J$554,$G30),'All Recipes'!$J$2:$J$554,0)),IF($F30=2,INDEX('All Recipes'!$A$2:$A$554,MATCH(LARGE('All Recipes'!$K$2:$K$554,$G30),'All Recipes'!$K$2:$K$554,0)),IF($F30=3,INDEX('All Recipes'!$A$2:$A$554,MATCH(LARGE('All Recipes'!$L$2:$L$554,$G30),'All Recipes'!$L$2:$L$554,0)),""))),"")</f>
        <v/>
      </c>
      <c r="D30" s="18">
        <f t="array" ref="D30">IFERROR(IF($F30=1,INDEX('All Recipes'!$B$2:$B$554,MATCH(LARGE('All Recipes'!$J$2:$J$554,$G30),'All Recipes'!$J$2:$J$554,0)),IF($F30=2,INDEX('All Recipes'!$B$2:$B$554,MATCH(LARGE('All Recipes'!$K$2:$K$554,$G30),'All Recipes'!$K$2:$K$554,0)),IF($F30=3,INDEX('All Recipes'!$B$2:$B$554,MATCH(LARGE('All Recipes'!$L$2:$L$554,$G30),'All Recipes'!$L$2:$L$554,0)),""))),"")</f>
        <v/>
      </c>
      <c r="E30" s="19">
        <f t="array" ref="E30">IFERROR(IF($F30=1,INDEX('All Recipes'!$F$2:$F$554,MATCH(LARGE('All Recipes'!$J$2:$J$554,$G30),'All Recipes'!$J$2:$J$554,0)),IF($F30=2,INDEX('All Recipes'!$F$2:$F$554,MATCH(LARGE('All Recipes'!$K$2:$K$554,$G30),'All Recipes'!$K$2:$K$554,0)),IF($F30=3,INDEX('All Recipes'!$F$2:$F$554,MATCH(LARGE('All Recipes'!$L$2:$L$554,$G30),'All Recipes'!$L$2:$L$554,0)),""))),"")</f>
        <v/>
      </c>
      <c r="F30" s="20">
        <f>IF(3&lt;=$B$6,1,IF(3&lt;=$B$6+$C$6,2,IF(3&lt;=$B$6+$C$6+$D$6,3,0)))</f>
        <v/>
      </c>
      <c r="G30" s="20">
        <f>IF(3&lt;=$B$6,3,IF(3&lt;=$B$6+$C$6,3-$B$6,IF(3&lt;=$B$6+$C$6+$D$6,3-$B$6-$C$6,0)))</f>
        <v/>
      </c>
    </row>
    <row r="31" ht="15.75" customHeight="1" s="36">
      <c r="A31" s="21">
        <f>IF($F31=0,"",4)</f>
        <v/>
      </c>
      <c r="B31" s="21">
        <f>IF($F31=0,"",IF($F31=1,"Asian",IF($F31=2,"Chinese","Western")))</f>
        <v/>
      </c>
      <c r="C31" s="22">
        <f t="array" ref="C31">IFERROR(IF($F31=1,INDEX('All Recipes'!$A$2:$A$554,MATCH(LARGE('All Recipes'!$J$2:$J$554,$G31),'All Recipes'!$J$2:$J$554,0)),IF($F31=2,INDEX('All Recipes'!$A$2:$A$554,MATCH(LARGE('All Recipes'!$K$2:$K$554,$G31),'All Recipes'!$K$2:$K$554,0)),IF($F31=3,INDEX('All Recipes'!$A$2:$A$554,MATCH(LARGE('All Recipes'!$L$2:$L$554,$G31),'All Recipes'!$L$2:$L$554,0)),""))),"")</f>
        <v/>
      </c>
      <c r="D31" s="22">
        <f t="array" ref="D31">IFERROR(IF($F31=1,INDEX('All Recipes'!$B$2:$B$554,MATCH(LARGE('All Recipes'!$J$2:$J$554,$G31),'All Recipes'!$J$2:$J$554,0)),IF($F31=2,INDEX('All Recipes'!$B$2:$B$554,MATCH(LARGE('All Recipes'!$K$2:$K$554,$G31),'All Recipes'!$K$2:$K$554,0)),IF($F31=3,INDEX('All Recipes'!$B$2:$B$554,MATCH(LARGE('All Recipes'!$L$2:$L$554,$G31),'All Recipes'!$L$2:$L$554,0)),""))),"")</f>
        <v/>
      </c>
      <c r="E31" s="23">
        <f t="array" ref="E31">IFERROR(IF($F31=1,INDEX('All Recipes'!$F$2:$F$554,MATCH(LARGE('All Recipes'!$J$2:$J$554,$G31),'All Recipes'!$J$2:$J$554,0)),IF($F31=2,INDEX('All Recipes'!$F$2:$F$554,MATCH(LARGE('All Recipes'!$K$2:$K$554,$G31),'All Recipes'!$K$2:$K$554,0)),IF($F31=3,INDEX('All Recipes'!$F$2:$F$554,MATCH(LARGE('All Recipes'!$L$2:$L$554,$G31),'All Recipes'!$L$2:$L$554,0)),""))),"")</f>
        <v/>
      </c>
      <c r="F31" s="20">
        <f>IF(4&lt;=$B$6,1,IF(4&lt;=$B$6+$C$6,2,IF(4&lt;=$B$6+$C$6+$D$6,3,0)))</f>
        <v/>
      </c>
      <c r="G31" s="20">
        <f>IF(4&lt;=$B$6,4,IF(4&lt;=$B$6+$C$6,4-$B$6,IF(4&lt;=$B$6+$C$6+$D$6,4-$B$6-$C$6,0)))</f>
        <v/>
      </c>
    </row>
    <row r="32" ht="15.75" customHeight="1" s="36">
      <c r="A32" s="17">
        <f>IF($F32=0,"",5)</f>
        <v/>
      </c>
      <c r="B32" s="17">
        <f>IF($F32=0,"",IF($F32=1,"Asian",IF($F32=2,"Chinese","Western")))</f>
        <v/>
      </c>
      <c r="C32" s="18">
        <f t="array" ref="C32">IFERROR(IF($F32=1,INDEX('All Recipes'!$A$2:$A$554,MATCH(LARGE('All Recipes'!$J$2:$J$554,$G32),'All Recipes'!$J$2:$J$554,0)),IF($F32=2,INDEX('All Recipes'!$A$2:$A$554,MATCH(LARGE('All Recipes'!$K$2:$K$554,$G32),'All Recipes'!$K$2:$K$554,0)),IF($F32=3,INDEX('All Recipes'!$A$2:$A$554,MATCH(LARGE('All Recipes'!$L$2:$L$554,$G32),'All Recipes'!$L$2:$L$554,0)),""))),"")</f>
        <v/>
      </c>
      <c r="D32" s="18">
        <f t="array" ref="D32">IFERROR(IF($F32=1,INDEX('All Recipes'!$B$2:$B$554,MATCH(LARGE('All Recipes'!$J$2:$J$554,$G32),'All Recipes'!$J$2:$J$554,0)),IF($F32=2,INDEX('All Recipes'!$B$2:$B$554,MATCH(LARGE('All Recipes'!$K$2:$K$554,$G32),'All Recipes'!$K$2:$K$554,0)),IF($F32=3,INDEX('All Recipes'!$B$2:$B$554,MATCH(LARGE('All Recipes'!$L$2:$L$554,$G32),'All Recipes'!$L$2:$L$554,0)),""))),"")</f>
        <v/>
      </c>
      <c r="E32" s="19">
        <f t="array" ref="E32">IFERROR(IF($F32=1,INDEX('All Recipes'!$F$2:$F$554,MATCH(LARGE('All Recipes'!$J$2:$J$554,$G32),'All Recipes'!$J$2:$J$554,0)),IF($F32=2,INDEX('All Recipes'!$F$2:$F$554,MATCH(LARGE('All Recipes'!$K$2:$K$554,$G32),'All Recipes'!$K$2:$K$554,0)),IF($F32=3,INDEX('All Recipes'!$F$2:$F$554,MATCH(LARGE('All Recipes'!$L$2:$L$554,$G32),'All Recipes'!$L$2:$L$554,0)),""))),"")</f>
        <v/>
      </c>
      <c r="F32" s="20">
        <f>IF(5&lt;=$B$6,1,IF(5&lt;=$B$6+$C$6,2,IF(5&lt;=$B$6+$C$6+$D$6,3,0)))</f>
        <v/>
      </c>
      <c r="G32" s="20">
        <f>IF(5&lt;=$B$6,5,IF(5&lt;=$B$6+$C$6,5-$B$6,IF(5&lt;=$B$6+$C$6+$D$6,5-$B$6-$C$6,0)))</f>
        <v/>
      </c>
    </row>
    <row r="33" ht="15.75" customHeight="1" s="36">
      <c r="A33" s="21">
        <f>IF($F33=0,"",6)</f>
        <v/>
      </c>
      <c r="B33" s="21">
        <f>IF($F33=0,"",IF($F33=1,"Asian",IF($F33=2,"Chinese","Western")))</f>
        <v/>
      </c>
      <c r="C33" s="22">
        <f t="array" ref="C33">IFERROR(IF($F33=1,INDEX('All Recipes'!$A$2:$A$554,MATCH(LARGE('All Recipes'!$J$2:$J$554,$G33),'All Recipes'!$J$2:$J$554,0)),IF($F33=2,INDEX('All Recipes'!$A$2:$A$554,MATCH(LARGE('All Recipes'!$K$2:$K$554,$G33),'All Recipes'!$K$2:$K$554,0)),IF($F33=3,INDEX('All Recipes'!$A$2:$A$554,MATCH(LARGE('All Recipes'!$L$2:$L$554,$G33),'All Recipes'!$L$2:$L$554,0)),""))),"")</f>
        <v/>
      </c>
      <c r="D33" s="22">
        <f t="array" ref="D33">IFERROR(IF($F33=1,INDEX('All Recipes'!$B$2:$B$554,MATCH(LARGE('All Recipes'!$J$2:$J$554,$G33),'All Recipes'!$J$2:$J$554,0)),IF($F33=2,INDEX('All Recipes'!$B$2:$B$554,MATCH(LARGE('All Recipes'!$K$2:$K$554,$G33),'All Recipes'!$K$2:$K$554,0)),IF($F33=3,INDEX('All Recipes'!$B$2:$B$554,MATCH(LARGE('All Recipes'!$L$2:$L$554,$G33),'All Recipes'!$L$2:$L$554,0)),""))),"")</f>
        <v/>
      </c>
      <c r="E33" s="23">
        <f t="array" ref="E33">IFERROR(IF($F33=1,INDEX('All Recipes'!$F$2:$F$554,MATCH(LARGE('All Recipes'!$J$2:$J$554,$G33),'All Recipes'!$J$2:$J$554,0)),IF($F33=2,INDEX('All Recipes'!$F$2:$F$554,MATCH(LARGE('All Recipes'!$K$2:$K$554,$G33),'All Recipes'!$K$2:$K$554,0)),IF($F33=3,INDEX('All Recipes'!$F$2:$F$554,MATCH(LARGE('All Recipes'!$L$2:$L$554,$G33),'All Recipes'!$L$2:$L$554,0)),""))),"")</f>
        <v/>
      </c>
      <c r="F33" s="20">
        <f>IF(6&lt;=$B$6,1,IF(6&lt;=$B$6+$C$6,2,IF(6&lt;=$B$6+$C$6+$D$6,3,0)))</f>
        <v/>
      </c>
      <c r="G33" s="20">
        <f>IF(6&lt;=$B$6,6,IF(6&lt;=$B$6+$C$6,6-$B$6,IF(6&lt;=$B$6+$C$6+$D$6,6-$B$6-$C$6,0)))</f>
        <v/>
      </c>
    </row>
    <row r="34" ht="15.75" customHeight="1" s="36">
      <c r="A34" s="17">
        <f>IF($F34=0,"",7)</f>
        <v/>
      </c>
      <c r="B34" s="17">
        <f>IF($F34=0,"",IF($F34=1,"Asian",IF($F34=2,"Chinese","Western")))</f>
        <v/>
      </c>
      <c r="C34" s="18">
        <f t="array" ref="C34">IFERROR(IF($F34=1,INDEX('All Recipes'!$A$2:$A$554,MATCH(LARGE('All Recipes'!$J$2:$J$554,$G34),'All Recipes'!$J$2:$J$554,0)),IF($F34=2,INDEX('All Recipes'!$A$2:$A$554,MATCH(LARGE('All Recipes'!$K$2:$K$554,$G34),'All Recipes'!$K$2:$K$554,0)),IF($F34=3,INDEX('All Recipes'!$A$2:$A$554,MATCH(LARGE('All Recipes'!$L$2:$L$554,$G34),'All Recipes'!$L$2:$L$554,0)),""))),"")</f>
        <v/>
      </c>
      <c r="D34" s="18">
        <f t="array" ref="D34">IFERROR(IF($F34=1,INDEX('All Recipes'!$B$2:$B$554,MATCH(LARGE('All Recipes'!$J$2:$J$554,$G34),'All Recipes'!$J$2:$J$554,0)),IF($F34=2,INDEX('All Recipes'!$B$2:$B$554,MATCH(LARGE('All Recipes'!$K$2:$K$554,$G34),'All Recipes'!$K$2:$K$554,0)),IF($F34=3,INDEX('All Recipes'!$B$2:$B$554,MATCH(LARGE('All Recipes'!$L$2:$L$554,$G34),'All Recipes'!$L$2:$L$554,0)),""))),"")</f>
        <v/>
      </c>
      <c r="E34" s="19">
        <f t="array" ref="E34">IFERROR(IF($F34=1,INDEX('All Recipes'!$F$2:$F$554,MATCH(LARGE('All Recipes'!$J$2:$J$554,$G34),'All Recipes'!$J$2:$J$554,0)),IF($F34=2,INDEX('All Recipes'!$F$2:$F$554,MATCH(LARGE('All Recipes'!$K$2:$K$554,$G34),'All Recipes'!$K$2:$K$554,0)),IF($F34=3,INDEX('All Recipes'!$F$2:$F$554,MATCH(LARGE('All Recipes'!$L$2:$L$554,$G34),'All Recipes'!$L$2:$L$554,0)),""))),"")</f>
        <v/>
      </c>
      <c r="F34" s="20">
        <f>IF(7&lt;=$B$6,1,IF(7&lt;=$B$6+$C$6,2,IF(7&lt;=$B$6+$C$6+$D$6,3,0)))</f>
        <v/>
      </c>
      <c r="G34" s="20">
        <f>IF(7&lt;=$B$6,7,IF(7&lt;=$B$6+$C$6,7-$B$6,IF(7&lt;=$B$6+$C$6+$D$6,7-$B$6-$C$6,0)))</f>
        <v/>
      </c>
    </row>
    <row r="35" ht="15.75" customHeight="1" s="36">
      <c r="A35" s="21">
        <f>IF($F35=0,"",8)</f>
        <v/>
      </c>
      <c r="B35" s="21">
        <f>IF($F35=0,"",IF($F35=1,"Asian",IF($F35=2,"Chinese","Western")))</f>
        <v/>
      </c>
      <c r="C35" s="22">
        <f t="array" ref="C35">IFERROR(IF($F35=1,INDEX('All Recipes'!$A$2:$A$554,MATCH(LARGE('All Recipes'!$J$2:$J$554,$G35),'All Recipes'!$J$2:$J$554,0)),IF($F35=2,INDEX('All Recipes'!$A$2:$A$554,MATCH(LARGE('All Recipes'!$K$2:$K$554,$G35),'All Recipes'!$K$2:$K$554,0)),IF($F35=3,INDEX('All Recipes'!$A$2:$A$554,MATCH(LARGE('All Recipes'!$L$2:$L$554,$G35),'All Recipes'!$L$2:$L$554,0)),""))),"")</f>
        <v/>
      </c>
      <c r="D35" s="22">
        <f t="array" ref="D35">IFERROR(IF($F35=1,INDEX('All Recipes'!$B$2:$B$554,MATCH(LARGE('All Recipes'!$J$2:$J$554,$G35),'All Recipes'!$J$2:$J$554,0)),IF($F35=2,INDEX('All Recipes'!$B$2:$B$554,MATCH(LARGE('All Recipes'!$K$2:$K$554,$G35),'All Recipes'!$K$2:$K$554,0)),IF($F35=3,INDEX('All Recipes'!$B$2:$B$554,MATCH(LARGE('All Recipes'!$L$2:$L$554,$G35),'All Recipes'!$L$2:$L$554,0)),""))),"")</f>
        <v/>
      </c>
      <c r="E35" s="23">
        <f t="array" ref="E35">IFERROR(IF($F35=1,INDEX('All Recipes'!$F$2:$F$554,MATCH(LARGE('All Recipes'!$J$2:$J$554,$G35),'All Recipes'!$J$2:$J$554,0)),IF($F35=2,INDEX('All Recipes'!$F$2:$F$554,MATCH(LARGE('All Recipes'!$K$2:$K$554,$G35),'All Recipes'!$K$2:$K$554,0)),IF($F35=3,INDEX('All Recipes'!$F$2:$F$554,MATCH(LARGE('All Recipes'!$L$2:$L$554,$G35),'All Recipes'!$L$2:$L$554,0)),""))),"")</f>
        <v/>
      </c>
      <c r="F35" s="20">
        <f>IF(8&lt;=$B$6,1,IF(8&lt;=$B$6+$C$6,2,IF(8&lt;=$B$6+$C$6+$D$6,3,0)))</f>
        <v/>
      </c>
      <c r="G35" s="20">
        <f>IF(8&lt;=$B$6,8,IF(8&lt;=$B$6+$C$6,8-$B$6,IF(8&lt;=$B$6+$C$6+$D$6,8-$B$6-$C$6,0)))</f>
        <v/>
      </c>
    </row>
    <row r="36" ht="15.75" customHeight="1" s="36">
      <c r="A36" s="17">
        <f>IF($F36=0,"",9)</f>
        <v/>
      </c>
      <c r="B36" s="17">
        <f>IF($F36=0,"",IF($F36=1,"Asian",IF($F36=2,"Chinese","Western")))</f>
        <v/>
      </c>
      <c r="C36" s="18">
        <f t="array" ref="C36">IFERROR(IF($F36=1,INDEX('All Recipes'!$A$2:$A$554,MATCH(LARGE('All Recipes'!$J$2:$J$554,$G36),'All Recipes'!$J$2:$J$554,0)),IF($F36=2,INDEX('All Recipes'!$A$2:$A$554,MATCH(LARGE('All Recipes'!$K$2:$K$554,$G36),'All Recipes'!$K$2:$K$554,0)),IF($F36=3,INDEX('All Recipes'!$A$2:$A$554,MATCH(LARGE('All Recipes'!$L$2:$L$554,$G36),'All Recipes'!$L$2:$L$554,0)),""))),"")</f>
        <v/>
      </c>
      <c r="D36" s="18">
        <f t="array" ref="D36">IFERROR(IF($F36=1,INDEX('All Recipes'!$B$2:$B$554,MATCH(LARGE('All Recipes'!$J$2:$J$554,$G36),'All Recipes'!$J$2:$J$554,0)),IF($F36=2,INDEX('All Recipes'!$B$2:$B$554,MATCH(LARGE('All Recipes'!$K$2:$K$554,$G36),'All Recipes'!$K$2:$K$554,0)),IF($F36=3,INDEX('All Recipes'!$B$2:$B$554,MATCH(LARGE('All Recipes'!$L$2:$L$554,$G36),'All Recipes'!$L$2:$L$554,0)),""))),"")</f>
        <v/>
      </c>
      <c r="E36" s="19">
        <f t="array" ref="E36">IFERROR(IF($F36=1,INDEX('All Recipes'!$F$2:$F$554,MATCH(LARGE('All Recipes'!$J$2:$J$554,$G36),'All Recipes'!$J$2:$J$554,0)),IF($F36=2,INDEX('All Recipes'!$F$2:$F$554,MATCH(LARGE('All Recipes'!$K$2:$K$554,$G36),'All Recipes'!$K$2:$K$554,0)),IF($F36=3,INDEX('All Recipes'!$F$2:$F$554,MATCH(LARGE('All Recipes'!$L$2:$L$554,$G36),'All Recipes'!$L$2:$L$554,0)),""))),"")</f>
        <v/>
      </c>
      <c r="F36" s="20">
        <f>IF(9&lt;=$B$6,1,IF(9&lt;=$B$6+$C$6,2,IF(9&lt;=$B$6+$C$6+$D$6,3,0)))</f>
        <v/>
      </c>
      <c r="G36" s="20">
        <f>IF(9&lt;=$B$6,9,IF(9&lt;=$B$6+$C$6,9-$B$6,IF(9&lt;=$B$6+$C$6+$D$6,9-$B$6-$C$6,0)))</f>
        <v/>
      </c>
    </row>
    <row r="37" ht="15.75" customHeight="1" s="36">
      <c r="A37" s="21">
        <f>IF($F37=0,"",10)</f>
        <v/>
      </c>
      <c r="B37" s="21">
        <f>IF($F37=0,"",IF($F37=1,"Asian",IF($F37=2,"Chinese","Western")))</f>
        <v/>
      </c>
      <c r="C37" s="22">
        <f t="array" ref="C37">IFERROR(IF($F37=1,INDEX('All Recipes'!$A$2:$A$554,MATCH(LARGE('All Recipes'!$J$2:$J$554,$G37),'All Recipes'!$J$2:$J$554,0)),IF($F37=2,INDEX('All Recipes'!$A$2:$A$554,MATCH(LARGE('All Recipes'!$K$2:$K$554,$G37),'All Recipes'!$K$2:$K$554,0)),IF($F37=3,INDEX('All Recipes'!$A$2:$A$554,MATCH(LARGE('All Recipes'!$L$2:$L$554,$G37),'All Recipes'!$L$2:$L$554,0)),""))),"")</f>
        <v/>
      </c>
      <c r="D37" s="22">
        <f t="array" ref="D37">IFERROR(IF($F37=1,INDEX('All Recipes'!$B$2:$B$554,MATCH(LARGE('All Recipes'!$J$2:$J$554,$G37),'All Recipes'!$J$2:$J$554,0)),IF($F37=2,INDEX('All Recipes'!$B$2:$B$554,MATCH(LARGE('All Recipes'!$K$2:$K$554,$G37),'All Recipes'!$K$2:$K$554,0)),IF($F37=3,INDEX('All Recipes'!$B$2:$B$554,MATCH(LARGE('All Recipes'!$L$2:$L$554,$G37),'All Recipes'!$L$2:$L$554,0)),""))),"")</f>
        <v/>
      </c>
      <c r="E37" s="23">
        <f t="array" ref="E37">IFERROR(IF($F37=1,INDEX('All Recipes'!$F$2:$F$554,MATCH(LARGE('All Recipes'!$J$2:$J$554,$G37),'All Recipes'!$J$2:$J$554,0)),IF($F37=2,INDEX('All Recipes'!$F$2:$F$554,MATCH(LARGE('All Recipes'!$K$2:$K$554,$G37),'All Recipes'!$K$2:$K$554,0)),IF($F37=3,INDEX('All Recipes'!$F$2:$F$554,MATCH(LARGE('All Recipes'!$L$2:$L$554,$G37),'All Recipes'!$L$2:$L$554,0)),""))),"")</f>
        <v/>
      </c>
      <c r="F37" s="20">
        <f>IF(10&lt;=$B$6,1,IF(10&lt;=$B$6+$C$6,2,IF(10&lt;=$B$6+$C$6+$D$6,3,0)))</f>
        <v/>
      </c>
      <c r="G37" s="20">
        <f>IF(10&lt;=$B$6,10,IF(10&lt;=$B$6+$C$6,10-$B$6,IF(10&lt;=$B$6+$C$6+$D$6,10-$B$6-$C$6,0)))</f>
        <v/>
      </c>
    </row>
    <row r="38" ht="15.75" customHeight="1" s="36">
      <c r="A38" s="17">
        <f>IF($F38=0,"",11)</f>
        <v/>
      </c>
      <c r="B38" s="17">
        <f>IF($F38=0,"",IF($F38=1,"Asian",IF($F38=2,"Chinese","Western")))</f>
        <v/>
      </c>
      <c r="C38" s="18">
        <f t="array" ref="C38">IFERROR(IF($F38=1,INDEX('All Recipes'!$A$2:$A$554,MATCH(LARGE('All Recipes'!$J$2:$J$554,$G38),'All Recipes'!$J$2:$J$554,0)),IF($F38=2,INDEX('All Recipes'!$A$2:$A$554,MATCH(LARGE('All Recipes'!$K$2:$K$554,$G38),'All Recipes'!$K$2:$K$554,0)),IF($F38=3,INDEX('All Recipes'!$A$2:$A$554,MATCH(LARGE('All Recipes'!$L$2:$L$554,$G38),'All Recipes'!$L$2:$L$554,0)),""))),"")</f>
        <v/>
      </c>
      <c r="D38" s="18">
        <f t="array" ref="D38">IFERROR(IF($F38=1,INDEX('All Recipes'!$B$2:$B$554,MATCH(LARGE('All Recipes'!$J$2:$J$554,$G38),'All Recipes'!$J$2:$J$554,0)),IF($F38=2,INDEX('All Recipes'!$B$2:$B$554,MATCH(LARGE('All Recipes'!$K$2:$K$554,$G38),'All Recipes'!$K$2:$K$554,0)),IF($F38=3,INDEX('All Recipes'!$B$2:$B$554,MATCH(LARGE('All Recipes'!$L$2:$L$554,$G38),'All Recipes'!$L$2:$L$554,0)),""))),"")</f>
        <v/>
      </c>
      <c r="E38" s="19">
        <f t="array" ref="E38">IFERROR(IF($F38=1,INDEX('All Recipes'!$F$2:$F$554,MATCH(LARGE('All Recipes'!$J$2:$J$554,$G38),'All Recipes'!$J$2:$J$554,0)),IF($F38=2,INDEX('All Recipes'!$F$2:$F$554,MATCH(LARGE('All Recipes'!$K$2:$K$554,$G38),'All Recipes'!$K$2:$K$554,0)),IF($F38=3,INDEX('All Recipes'!$F$2:$F$554,MATCH(LARGE('All Recipes'!$L$2:$L$554,$G38),'All Recipes'!$L$2:$L$554,0)),""))),"")</f>
        <v/>
      </c>
      <c r="F38" s="20">
        <f>IF(11&lt;=$B$6,1,IF(11&lt;=$B$6+$C$6,2,IF(11&lt;=$B$6+$C$6+$D$6,3,0)))</f>
        <v/>
      </c>
      <c r="G38" s="20">
        <f>IF(11&lt;=$B$6,11,IF(11&lt;=$B$6+$C$6,11-$B$6,IF(11&lt;=$B$6+$C$6+$D$6,11-$B$6-$C$6,0)))</f>
        <v/>
      </c>
    </row>
    <row r="39" ht="15.75" customHeight="1" s="36">
      <c r="A39" s="21">
        <f>IF($F39=0,"",12)</f>
        <v/>
      </c>
      <c r="B39" s="21">
        <f>IF($F39=0,"",IF($F39=1,"Asian",IF($F39=2,"Chinese","Western")))</f>
        <v/>
      </c>
      <c r="C39" s="22">
        <f t="array" ref="C39">IFERROR(IF($F39=1,INDEX('All Recipes'!$A$2:$A$554,MATCH(LARGE('All Recipes'!$J$2:$J$554,$G39),'All Recipes'!$J$2:$J$554,0)),IF($F39=2,INDEX('All Recipes'!$A$2:$A$554,MATCH(LARGE('All Recipes'!$K$2:$K$554,$G39),'All Recipes'!$K$2:$K$554,0)),IF($F39=3,INDEX('All Recipes'!$A$2:$A$554,MATCH(LARGE('All Recipes'!$L$2:$L$554,$G39),'All Recipes'!$L$2:$L$554,0)),""))),"")</f>
        <v/>
      </c>
      <c r="D39" s="22">
        <f t="array" ref="D39">IFERROR(IF($F39=1,INDEX('All Recipes'!$B$2:$B$554,MATCH(LARGE('All Recipes'!$J$2:$J$554,$G39),'All Recipes'!$J$2:$J$554,0)),IF($F39=2,INDEX('All Recipes'!$B$2:$B$554,MATCH(LARGE('All Recipes'!$K$2:$K$554,$G39),'All Recipes'!$K$2:$K$554,0)),IF($F39=3,INDEX('All Recipes'!$B$2:$B$554,MATCH(LARGE('All Recipes'!$L$2:$L$554,$G39),'All Recipes'!$L$2:$L$554,0)),""))),"")</f>
        <v/>
      </c>
      <c r="E39" s="23">
        <f t="array" ref="E39">IFERROR(IF($F39=1,INDEX('All Recipes'!$F$2:$F$554,MATCH(LARGE('All Recipes'!$J$2:$J$554,$G39),'All Recipes'!$J$2:$J$554,0)),IF($F39=2,INDEX('All Recipes'!$F$2:$F$554,MATCH(LARGE('All Recipes'!$K$2:$K$554,$G39),'All Recipes'!$K$2:$K$554,0)),IF($F39=3,INDEX('All Recipes'!$F$2:$F$554,MATCH(LARGE('All Recipes'!$L$2:$L$554,$G39),'All Recipes'!$L$2:$L$554,0)),""))),"")</f>
        <v/>
      </c>
      <c r="F39" s="20">
        <f>IF(12&lt;=$B$6,1,IF(12&lt;=$B$6+$C$6,2,IF(12&lt;=$B$6+$C$6+$D$6,3,0)))</f>
        <v/>
      </c>
      <c r="G39" s="20">
        <f>IF(12&lt;=$B$6,12,IF(12&lt;=$B$6+$C$6,12-$B$6,IF(12&lt;=$B$6+$C$6+$D$6,12-$B$6-$C$6,0)))</f>
        <v/>
      </c>
    </row>
    <row r="40" ht="15.75" customHeight="1" s="36"/>
    <row r="41" ht="15.75" customHeight="1" s="36">
      <c r="A41" s="39" t="inlineStr">
        <is>
          <t>🍲  DINNER</t>
        </is>
      </c>
    </row>
    <row r="42" ht="15.75" customHeight="1" s="36">
      <c r="A42" s="4" t="inlineStr">
        <is>
          <t>#</t>
        </is>
      </c>
      <c r="B42" s="4" t="inlineStr">
        <is>
          <t>Cuisine</t>
        </is>
      </c>
      <c r="C42" s="16" t="inlineStr">
        <is>
          <t>Recipe</t>
        </is>
      </c>
      <c r="D42" s="16" t="inlineStr">
        <is>
          <t>Ingredients</t>
        </is>
      </c>
      <c r="E42" s="4" t="inlineStr">
        <is>
          <t>Recipe link</t>
        </is>
      </c>
    </row>
    <row r="43" ht="15.75" customHeight="1" s="36">
      <c r="A43" s="17">
        <f>IF($F43=0,"",1)</f>
        <v/>
      </c>
      <c r="B43" s="17">
        <f>IF($F43=0,"",IF($F43=1,"Asian",IF($F43=2,"Chinese","Western")))</f>
        <v/>
      </c>
      <c r="C43" s="18">
        <f t="array" ref="C43">IFERROR(IF($F43=1,INDEX('All Recipes'!$A$2:$A$554,MATCH(LARGE('All Recipes'!$M$2:$M$554,$G43),'All Recipes'!$M$2:$M$554,0)),IF($F43=2,INDEX('All Recipes'!$A$2:$A$554,MATCH(LARGE('All Recipes'!$N$2:$N$554,$G43),'All Recipes'!$N$2:$N$554,0)),IF($F43=3,INDEX('All Recipes'!$A$2:$A$554,MATCH(LARGE('All Recipes'!$O$2:$O$554,$G43),'All Recipes'!$O$2:$O$554,0)),""))),"")</f>
        <v/>
      </c>
      <c r="D43" s="18">
        <f t="array" ref="D43">IFERROR(IF($F43=1,INDEX('All Recipes'!$B$2:$B$554,MATCH(LARGE('All Recipes'!$M$2:$M$554,$G43),'All Recipes'!$M$2:$M$554,0)),IF($F43=2,INDEX('All Recipes'!$B$2:$B$554,MATCH(LARGE('All Recipes'!$N$2:$N$554,$G43),'All Recipes'!$N$2:$N$554,0)),IF($F43=3,INDEX('All Recipes'!$B$2:$B$554,MATCH(LARGE('All Recipes'!$O$2:$O$554,$G43),'All Recipes'!$O$2:$O$554,0)),""))),"")</f>
        <v/>
      </c>
      <c r="E43" s="19">
        <f t="array" ref="E43">IFERROR(IF($F43=1,INDEX('All Recipes'!$F$2:$F$554,MATCH(LARGE('All Recipes'!$M$2:$M$554,$G43),'All Recipes'!$M$2:$M$554,0)),IF($F43=2,INDEX('All Recipes'!$F$2:$F$554,MATCH(LARGE('All Recipes'!$N$2:$N$554,$G43),'All Recipes'!$N$2:$N$554,0)),IF($F43=3,INDEX('All Recipes'!$F$2:$F$554,MATCH(LARGE('All Recipes'!$O$2:$O$554,$G43),'All Recipes'!$O$2:$O$554,0)),""))),"")</f>
        <v/>
      </c>
      <c r="F43" s="20">
        <f>IF(1&lt;=$B$7,1,IF(1&lt;=$B$7+$C$7,2,IF(1&lt;=$B$7+$C$7+$D$7,3,0)))</f>
        <v/>
      </c>
      <c r="G43" s="20">
        <f>IF(1&lt;=$B$7,1,IF(1&lt;=$B$7+$C$7,1-$B$7,IF(1&lt;=$B$7+$C$7+$D$7,1-$B$7-$C$7,0)))</f>
        <v/>
      </c>
    </row>
    <row r="44" ht="15.75" customHeight="1" s="36">
      <c r="A44" s="21">
        <f>IF($F44=0,"",2)</f>
        <v/>
      </c>
      <c r="B44" s="21">
        <f>IF($F44=0,"",IF($F44=1,"Asian",IF($F44=2,"Chinese","Western")))</f>
        <v/>
      </c>
      <c r="C44" s="22">
        <f t="array" ref="C44">IFERROR(IF($F44=1,INDEX('All Recipes'!$A$2:$A$554,MATCH(LARGE('All Recipes'!$M$2:$M$554,$G44),'All Recipes'!$M$2:$M$554,0)),IF($F44=2,INDEX('All Recipes'!$A$2:$A$554,MATCH(LARGE('All Recipes'!$N$2:$N$554,$G44),'All Recipes'!$N$2:$N$554,0)),IF($F44=3,INDEX('All Recipes'!$A$2:$A$554,MATCH(LARGE('All Recipes'!$O$2:$O$554,$G44),'All Recipes'!$O$2:$O$554,0)),""))),"")</f>
        <v/>
      </c>
      <c r="D44" s="22">
        <f t="array" ref="D44">IFERROR(IF($F44=1,INDEX('All Recipes'!$B$2:$B$554,MATCH(LARGE('All Recipes'!$M$2:$M$554,$G44),'All Recipes'!$M$2:$M$554,0)),IF($F44=2,INDEX('All Recipes'!$B$2:$B$554,MATCH(LARGE('All Recipes'!$N$2:$N$554,$G44),'All Recipes'!$N$2:$N$554,0)),IF($F44=3,INDEX('All Recipes'!$B$2:$B$554,MATCH(LARGE('All Recipes'!$O$2:$O$554,$G44),'All Recipes'!$O$2:$O$554,0)),""))),"")</f>
        <v/>
      </c>
      <c r="E44" s="23">
        <f t="array" ref="E44">IFERROR(IF($F44=1,INDEX('All Recipes'!$F$2:$F$554,MATCH(LARGE('All Recipes'!$M$2:$M$554,$G44),'All Recipes'!$M$2:$M$554,0)),IF($F44=2,INDEX('All Recipes'!$F$2:$F$554,MATCH(LARGE('All Recipes'!$N$2:$N$554,$G44),'All Recipes'!$N$2:$N$554,0)),IF($F44=3,INDEX('All Recipes'!$F$2:$F$554,MATCH(LARGE('All Recipes'!$O$2:$O$554,$G44),'All Recipes'!$O$2:$O$554,0)),""))),"")</f>
        <v/>
      </c>
      <c r="F44" s="20">
        <f>IF(2&lt;=$B$7,1,IF(2&lt;=$B$7+$C$7,2,IF(2&lt;=$B$7+$C$7+$D$7,3,0)))</f>
        <v/>
      </c>
      <c r="G44" s="20">
        <f>IF(2&lt;=$B$7,2,IF(2&lt;=$B$7+$C$7,2-$B$7,IF(2&lt;=$B$7+$C$7+$D$7,2-$B$7-$C$7,0)))</f>
        <v/>
      </c>
    </row>
    <row r="45" ht="15.75" customHeight="1" s="36">
      <c r="A45" s="17">
        <f>IF($F45=0,"",3)</f>
        <v/>
      </c>
      <c r="B45" s="17">
        <f>IF($F45=0,"",IF($F45=1,"Asian",IF($F45=2,"Chinese","Western")))</f>
        <v/>
      </c>
      <c r="C45" s="18">
        <f t="array" ref="C45">IFERROR(IF($F45=1,INDEX('All Recipes'!$A$2:$A$554,MATCH(LARGE('All Recipes'!$M$2:$M$554,$G45),'All Recipes'!$M$2:$M$554,0)),IF($F45=2,INDEX('All Recipes'!$A$2:$A$554,MATCH(LARGE('All Recipes'!$N$2:$N$554,$G45),'All Recipes'!$N$2:$N$554,0)),IF($F45=3,INDEX('All Recipes'!$A$2:$A$554,MATCH(LARGE('All Recipes'!$O$2:$O$554,$G45),'All Recipes'!$O$2:$O$554,0)),""))),"")</f>
        <v/>
      </c>
      <c r="D45" s="18">
        <f t="array" ref="D45">IFERROR(IF($F45=1,INDEX('All Recipes'!$B$2:$B$554,MATCH(LARGE('All Recipes'!$M$2:$M$554,$G45),'All Recipes'!$M$2:$M$554,0)),IF($F45=2,INDEX('All Recipes'!$B$2:$B$554,MATCH(LARGE('All Recipes'!$N$2:$N$554,$G45),'All Recipes'!$N$2:$N$554,0)),IF($F45=3,INDEX('All Recipes'!$B$2:$B$554,MATCH(LARGE('All Recipes'!$O$2:$O$554,$G45),'All Recipes'!$O$2:$O$554,0)),""))),"")</f>
        <v/>
      </c>
      <c r="E45" s="19">
        <f t="array" ref="E45">IFERROR(IF($F45=1,INDEX('All Recipes'!$F$2:$F$554,MATCH(LARGE('All Recipes'!$M$2:$M$554,$G45),'All Recipes'!$M$2:$M$554,0)),IF($F45=2,INDEX('All Recipes'!$F$2:$F$554,MATCH(LARGE('All Recipes'!$N$2:$N$554,$G45),'All Recipes'!$N$2:$N$554,0)),IF($F45=3,INDEX('All Recipes'!$F$2:$F$554,MATCH(LARGE('All Recipes'!$O$2:$O$554,$G45),'All Recipes'!$O$2:$O$554,0)),""))),"")</f>
        <v/>
      </c>
      <c r="F45" s="20">
        <f>IF(3&lt;=$B$7,1,IF(3&lt;=$B$7+$C$7,2,IF(3&lt;=$B$7+$C$7+$D$7,3,0)))</f>
        <v/>
      </c>
      <c r="G45" s="20">
        <f>IF(3&lt;=$B$7,3,IF(3&lt;=$B$7+$C$7,3-$B$7,IF(3&lt;=$B$7+$C$7+$D$7,3-$B$7-$C$7,0)))</f>
        <v/>
      </c>
    </row>
    <row r="46" ht="15.75" customHeight="1" s="36">
      <c r="A46" s="21">
        <f>IF($F46=0,"",4)</f>
        <v/>
      </c>
      <c r="B46" s="21">
        <f>IF($F46=0,"",IF($F46=1,"Asian",IF($F46=2,"Chinese","Western")))</f>
        <v/>
      </c>
      <c r="C46" s="22">
        <f t="array" ref="C46">IFERROR(IF($F46=1,INDEX('All Recipes'!$A$2:$A$554,MATCH(LARGE('All Recipes'!$M$2:$M$554,$G46),'All Recipes'!$M$2:$M$554,0)),IF($F46=2,INDEX('All Recipes'!$A$2:$A$554,MATCH(LARGE('All Recipes'!$N$2:$N$554,$G46),'All Recipes'!$N$2:$N$554,0)),IF($F46=3,INDEX('All Recipes'!$A$2:$A$554,MATCH(LARGE('All Recipes'!$O$2:$O$554,$G46),'All Recipes'!$O$2:$O$554,0)),""))),"")</f>
        <v/>
      </c>
      <c r="D46" s="22">
        <f t="array" ref="D46">IFERROR(IF($F46=1,INDEX('All Recipes'!$B$2:$B$554,MATCH(LARGE('All Recipes'!$M$2:$M$554,$G46),'All Recipes'!$M$2:$M$554,0)),IF($F46=2,INDEX('All Recipes'!$B$2:$B$554,MATCH(LARGE('All Recipes'!$N$2:$N$554,$G46),'All Recipes'!$N$2:$N$554,0)),IF($F46=3,INDEX('All Recipes'!$B$2:$B$554,MATCH(LARGE('All Recipes'!$O$2:$O$554,$G46),'All Recipes'!$O$2:$O$554,0)),""))),"")</f>
        <v/>
      </c>
      <c r="E46" s="23">
        <f t="array" ref="E46">IFERROR(IF($F46=1,INDEX('All Recipes'!$F$2:$F$554,MATCH(LARGE('All Recipes'!$M$2:$M$554,$G46),'All Recipes'!$M$2:$M$554,0)),IF($F46=2,INDEX('All Recipes'!$F$2:$F$554,MATCH(LARGE('All Recipes'!$N$2:$N$554,$G46),'All Recipes'!$N$2:$N$554,0)),IF($F46=3,INDEX('All Recipes'!$F$2:$F$554,MATCH(LARGE('All Recipes'!$O$2:$O$554,$G46),'All Recipes'!$O$2:$O$554,0)),""))),"")</f>
        <v/>
      </c>
      <c r="F46" s="20">
        <f>IF(4&lt;=$B$7,1,IF(4&lt;=$B$7+$C$7,2,IF(4&lt;=$B$7+$C$7+$D$7,3,0)))</f>
        <v/>
      </c>
      <c r="G46" s="20">
        <f>IF(4&lt;=$B$7,4,IF(4&lt;=$B$7+$C$7,4-$B$7,IF(4&lt;=$B$7+$C$7+$D$7,4-$B$7-$C$7,0)))</f>
        <v/>
      </c>
    </row>
    <row r="47" ht="15.75" customHeight="1" s="36">
      <c r="A47" s="17">
        <f>IF($F47=0,"",5)</f>
        <v/>
      </c>
      <c r="B47" s="17">
        <f>IF($F47=0,"",IF($F47=1,"Asian",IF($F47=2,"Chinese","Western")))</f>
        <v/>
      </c>
      <c r="C47" s="18">
        <f t="array" ref="C47">IFERROR(IF($F47=1,INDEX('All Recipes'!$A$2:$A$554,MATCH(LARGE('All Recipes'!$M$2:$M$554,$G47),'All Recipes'!$M$2:$M$554,0)),IF($F47=2,INDEX('All Recipes'!$A$2:$A$554,MATCH(LARGE('All Recipes'!$N$2:$N$554,$G47),'All Recipes'!$N$2:$N$554,0)),IF($F47=3,INDEX('All Recipes'!$A$2:$A$554,MATCH(LARGE('All Recipes'!$O$2:$O$554,$G47),'All Recipes'!$O$2:$O$554,0)),""))),"")</f>
        <v/>
      </c>
      <c r="D47" s="18">
        <f t="array" ref="D47">IFERROR(IF($F47=1,INDEX('All Recipes'!$B$2:$B$554,MATCH(LARGE('All Recipes'!$M$2:$M$554,$G47),'All Recipes'!$M$2:$M$554,0)),IF($F47=2,INDEX('All Recipes'!$B$2:$B$554,MATCH(LARGE('All Recipes'!$N$2:$N$554,$G47),'All Recipes'!$N$2:$N$554,0)),IF($F47=3,INDEX('All Recipes'!$B$2:$B$554,MATCH(LARGE('All Recipes'!$O$2:$O$554,$G47),'All Recipes'!$O$2:$O$554,0)),""))),"")</f>
        <v/>
      </c>
      <c r="E47" s="19">
        <f t="array" ref="E47">IFERROR(IF($F47=1,INDEX('All Recipes'!$F$2:$F$554,MATCH(LARGE('All Recipes'!$M$2:$M$554,$G47),'All Recipes'!$M$2:$M$554,0)),IF($F47=2,INDEX('All Recipes'!$F$2:$F$554,MATCH(LARGE('All Recipes'!$N$2:$N$554,$G47),'All Recipes'!$N$2:$N$554,0)),IF($F47=3,INDEX('All Recipes'!$F$2:$F$554,MATCH(LARGE('All Recipes'!$O$2:$O$554,$G47),'All Recipes'!$O$2:$O$554,0)),""))),"")</f>
        <v/>
      </c>
      <c r="F47" s="20">
        <f>IF(5&lt;=$B$7,1,IF(5&lt;=$B$7+$C$7,2,IF(5&lt;=$B$7+$C$7+$D$7,3,0)))</f>
        <v/>
      </c>
      <c r="G47" s="20">
        <f>IF(5&lt;=$B$7,5,IF(5&lt;=$B$7+$C$7,5-$B$7,IF(5&lt;=$B$7+$C$7+$D$7,5-$B$7-$C$7,0)))</f>
        <v/>
      </c>
    </row>
    <row r="48" ht="15.75" customHeight="1" s="36">
      <c r="A48" s="21">
        <f>IF($F48=0,"",6)</f>
        <v/>
      </c>
      <c r="B48" s="21">
        <f>IF($F48=0,"",IF($F48=1,"Asian",IF($F48=2,"Chinese","Western")))</f>
        <v/>
      </c>
      <c r="C48" s="22">
        <f t="array" ref="C48">IFERROR(IF($F48=1,INDEX('All Recipes'!$A$2:$A$554,MATCH(LARGE('All Recipes'!$M$2:$M$554,$G48),'All Recipes'!$M$2:$M$554,0)),IF($F48=2,INDEX('All Recipes'!$A$2:$A$554,MATCH(LARGE('All Recipes'!$N$2:$N$554,$G48),'All Recipes'!$N$2:$N$554,0)),IF($F48=3,INDEX('All Recipes'!$A$2:$A$554,MATCH(LARGE('All Recipes'!$O$2:$O$554,$G48),'All Recipes'!$O$2:$O$554,0)),""))),"")</f>
        <v/>
      </c>
      <c r="D48" s="22">
        <f t="array" ref="D48">IFERROR(IF($F48=1,INDEX('All Recipes'!$B$2:$B$554,MATCH(LARGE('All Recipes'!$M$2:$M$554,$G48),'All Recipes'!$M$2:$M$554,0)),IF($F48=2,INDEX('All Recipes'!$B$2:$B$554,MATCH(LARGE('All Recipes'!$N$2:$N$554,$G48),'All Recipes'!$N$2:$N$554,0)),IF($F48=3,INDEX('All Recipes'!$B$2:$B$554,MATCH(LARGE('All Recipes'!$O$2:$O$554,$G48),'All Recipes'!$O$2:$O$554,0)),""))),"")</f>
        <v/>
      </c>
      <c r="E48" s="23">
        <f t="array" ref="E48">IFERROR(IF($F48=1,INDEX('All Recipes'!$F$2:$F$554,MATCH(LARGE('All Recipes'!$M$2:$M$554,$G48),'All Recipes'!$M$2:$M$554,0)),IF($F48=2,INDEX('All Recipes'!$F$2:$F$554,MATCH(LARGE('All Recipes'!$N$2:$N$554,$G48),'All Recipes'!$N$2:$N$554,0)),IF($F48=3,INDEX('All Recipes'!$F$2:$F$554,MATCH(LARGE('All Recipes'!$O$2:$O$554,$G48),'All Recipes'!$O$2:$O$554,0)),""))),"")</f>
        <v/>
      </c>
      <c r="F48" s="20">
        <f>IF(6&lt;=$B$7,1,IF(6&lt;=$B$7+$C$7,2,IF(6&lt;=$B$7+$C$7+$D$7,3,0)))</f>
        <v/>
      </c>
      <c r="G48" s="20">
        <f>IF(6&lt;=$B$7,6,IF(6&lt;=$B$7+$C$7,6-$B$7,IF(6&lt;=$B$7+$C$7+$D$7,6-$B$7-$C$7,0)))</f>
        <v/>
      </c>
    </row>
    <row r="49" ht="15.75" customHeight="1" s="36">
      <c r="A49" s="17">
        <f>IF($F49=0,"",7)</f>
        <v/>
      </c>
      <c r="B49" s="17">
        <f>IF($F49=0,"",IF($F49=1,"Asian",IF($F49=2,"Chinese","Western")))</f>
        <v/>
      </c>
      <c r="C49" s="18">
        <f t="array" ref="C49">IFERROR(IF($F49=1,INDEX('All Recipes'!$A$2:$A$554,MATCH(LARGE('All Recipes'!$M$2:$M$554,$G49),'All Recipes'!$M$2:$M$554,0)),IF($F49=2,INDEX('All Recipes'!$A$2:$A$554,MATCH(LARGE('All Recipes'!$N$2:$N$554,$G49),'All Recipes'!$N$2:$N$554,0)),IF($F49=3,INDEX('All Recipes'!$A$2:$A$554,MATCH(LARGE('All Recipes'!$O$2:$O$554,$G49),'All Recipes'!$O$2:$O$554,0)),""))),"")</f>
        <v/>
      </c>
      <c r="D49" s="18">
        <f t="array" ref="D49">IFERROR(IF($F49=1,INDEX('All Recipes'!$B$2:$B$554,MATCH(LARGE('All Recipes'!$M$2:$M$554,$G49),'All Recipes'!$M$2:$M$554,0)),IF($F49=2,INDEX('All Recipes'!$B$2:$B$554,MATCH(LARGE('All Recipes'!$N$2:$N$554,$G49),'All Recipes'!$N$2:$N$554,0)),IF($F49=3,INDEX('All Recipes'!$B$2:$B$554,MATCH(LARGE('All Recipes'!$O$2:$O$554,$G49),'All Recipes'!$O$2:$O$554,0)),""))),"")</f>
        <v/>
      </c>
      <c r="E49" s="19">
        <f t="array" ref="E49">IFERROR(IF($F49=1,INDEX('All Recipes'!$F$2:$F$554,MATCH(LARGE('All Recipes'!$M$2:$M$554,$G49),'All Recipes'!$M$2:$M$554,0)),IF($F49=2,INDEX('All Recipes'!$F$2:$F$554,MATCH(LARGE('All Recipes'!$N$2:$N$554,$G49),'All Recipes'!$N$2:$N$554,0)),IF($F49=3,INDEX('All Recipes'!$F$2:$F$554,MATCH(LARGE('All Recipes'!$O$2:$O$554,$G49),'All Recipes'!$O$2:$O$554,0)),""))),"")</f>
        <v/>
      </c>
      <c r="F49" s="20">
        <f>IF(7&lt;=$B$7,1,IF(7&lt;=$B$7+$C$7,2,IF(7&lt;=$B$7+$C$7+$D$7,3,0)))</f>
        <v/>
      </c>
      <c r="G49" s="20">
        <f>IF(7&lt;=$B$7,7,IF(7&lt;=$B$7+$C$7,7-$B$7,IF(7&lt;=$B$7+$C$7+$D$7,7-$B$7-$C$7,0)))</f>
        <v/>
      </c>
    </row>
    <row r="50" ht="15.75" customHeight="1" s="36">
      <c r="A50" s="21">
        <f>IF($F50=0,"",8)</f>
        <v/>
      </c>
      <c r="B50" s="21">
        <f>IF($F50=0,"",IF($F50=1,"Asian",IF($F50=2,"Chinese","Western")))</f>
        <v/>
      </c>
      <c r="C50" s="22">
        <f t="array" ref="C50">IFERROR(IF($F50=1,INDEX('All Recipes'!$A$2:$A$554,MATCH(LARGE('All Recipes'!$M$2:$M$554,$G50),'All Recipes'!$M$2:$M$554,0)),IF($F50=2,INDEX('All Recipes'!$A$2:$A$554,MATCH(LARGE('All Recipes'!$N$2:$N$554,$G50),'All Recipes'!$N$2:$N$554,0)),IF($F50=3,INDEX('All Recipes'!$A$2:$A$554,MATCH(LARGE('All Recipes'!$O$2:$O$554,$G50),'All Recipes'!$O$2:$O$554,0)),""))),"")</f>
        <v/>
      </c>
      <c r="D50" s="22">
        <f t="array" ref="D50">IFERROR(IF($F50=1,INDEX('All Recipes'!$B$2:$B$554,MATCH(LARGE('All Recipes'!$M$2:$M$554,$G50),'All Recipes'!$M$2:$M$554,0)),IF($F50=2,INDEX('All Recipes'!$B$2:$B$554,MATCH(LARGE('All Recipes'!$N$2:$N$554,$G50),'All Recipes'!$N$2:$N$554,0)),IF($F50=3,INDEX('All Recipes'!$B$2:$B$554,MATCH(LARGE('All Recipes'!$O$2:$O$554,$G50),'All Recipes'!$O$2:$O$554,0)),""))),"")</f>
        <v/>
      </c>
      <c r="E50" s="23">
        <f t="array" ref="E50">IFERROR(IF($F50=1,INDEX('All Recipes'!$F$2:$F$554,MATCH(LARGE('All Recipes'!$M$2:$M$554,$G50),'All Recipes'!$M$2:$M$554,0)),IF($F50=2,INDEX('All Recipes'!$F$2:$F$554,MATCH(LARGE('All Recipes'!$N$2:$N$554,$G50),'All Recipes'!$N$2:$N$554,0)),IF($F50=3,INDEX('All Recipes'!$F$2:$F$554,MATCH(LARGE('All Recipes'!$O$2:$O$554,$G50),'All Recipes'!$O$2:$O$554,0)),""))),"")</f>
        <v/>
      </c>
      <c r="F50" s="20">
        <f>IF(8&lt;=$B$7,1,IF(8&lt;=$B$7+$C$7,2,IF(8&lt;=$B$7+$C$7+$D$7,3,0)))</f>
        <v/>
      </c>
      <c r="G50" s="20">
        <f>IF(8&lt;=$B$7,8,IF(8&lt;=$B$7+$C$7,8-$B$7,IF(8&lt;=$B$7+$C$7+$D$7,8-$B$7-$C$7,0)))</f>
        <v/>
      </c>
    </row>
    <row r="51" ht="15.75" customHeight="1" s="36">
      <c r="A51" s="17">
        <f>IF($F51=0,"",9)</f>
        <v/>
      </c>
      <c r="B51" s="17">
        <f>IF($F51=0,"",IF($F51=1,"Asian",IF($F51=2,"Chinese","Western")))</f>
        <v/>
      </c>
      <c r="C51" s="18">
        <f t="array" ref="C51">IFERROR(IF($F51=1,INDEX('All Recipes'!$A$2:$A$554,MATCH(LARGE('All Recipes'!$M$2:$M$554,$G51),'All Recipes'!$M$2:$M$554,0)),IF($F51=2,INDEX('All Recipes'!$A$2:$A$554,MATCH(LARGE('All Recipes'!$N$2:$N$554,$G51),'All Recipes'!$N$2:$N$554,0)),IF($F51=3,INDEX('All Recipes'!$A$2:$A$554,MATCH(LARGE('All Recipes'!$O$2:$O$554,$G51),'All Recipes'!$O$2:$O$554,0)),""))),"")</f>
        <v/>
      </c>
      <c r="D51" s="18">
        <f t="array" ref="D51">IFERROR(IF($F51=1,INDEX('All Recipes'!$B$2:$B$554,MATCH(LARGE('All Recipes'!$M$2:$M$554,$G51),'All Recipes'!$M$2:$M$554,0)),IF($F51=2,INDEX('All Recipes'!$B$2:$B$554,MATCH(LARGE('All Recipes'!$N$2:$N$554,$G51),'All Recipes'!$N$2:$N$554,0)),IF($F51=3,INDEX('All Recipes'!$B$2:$B$554,MATCH(LARGE('All Recipes'!$O$2:$O$554,$G51),'All Recipes'!$O$2:$O$554,0)),""))),"")</f>
        <v/>
      </c>
      <c r="E51" s="19">
        <f t="array" ref="E51">IFERROR(IF($F51=1,INDEX('All Recipes'!$F$2:$F$554,MATCH(LARGE('All Recipes'!$M$2:$M$554,$G51),'All Recipes'!$M$2:$M$554,0)),IF($F51=2,INDEX('All Recipes'!$F$2:$F$554,MATCH(LARGE('All Recipes'!$N$2:$N$554,$G51),'All Recipes'!$N$2:$N$554,0)),IF($F51=3,INDEX('All Recipes'!$F$2:$F$554,MATCH(LARGE('All Recipes'!$O$2:$O$554,$G51),'All Recipes'!$O$2:$O$554,0)),""))),"")</f>
        <v/>
      </c>
      <c r="F51" s="20">
        <f>IF(9&lt;=$B$7,1,IF(9&lt;=$B$7+$C$7,2,IF(9&lt;=$B$7+$C$7+$D$7,3,0)))</f>
        <v/>
      </c>
      <c r="G51" s="20">
        <f>IF(9&lt;=$B$7,9,IF(9&lt;=$B$7+$C$7,9-$B$7,IF(9&lt;=$B$7+$C$7+$D$7,9-$B$7-$C$7,0)))</f>
        <v/>
      </c>
    </row>
    <row r="52" ht="15.75" customHeight="1" s="36">
      <c r="A52" s="21">
        <f>IF($F52=0,"",10)</f>
        <v/>
      </c>
      <c r="B52" s="21">
        <f>IF($F52=0,"",IF($F52=1,"Asian",IF($F52=2,"Chinese","Western")))</f>
        <v/>
      </c>
      <c r="C52" s="22">
        <f t="array" ref="C52">IFERROR(IF($F52=1,INDEX('All Recipes'!$A$2:$A$554,MATCH(LARGE('All Recipes'!$M$2:$M$554,$G52),'All Recipes'!$M$2:$M$554,0)),IF($F52=2,INDEX('All Recipes'!$A$2:$A$554,MATCH(LARGE('All Recipes'!$N$2:$N$554,$G52),'All Recipes'!$N$2:$N$554,0)),IF($F52=3,INDEX('All Recipes'!$A$2:$A$554,MATCH(LARGE('All Recipes'!$O$2:$O$554,$G52),'All Recipes'!$O$2:$O$554,0)),""))),"")</f>
        <v/>
      </c>
      <c r="D52" s="22">
        <f t="array" ref="D52">IFERROR(IF($F52=1,INDEX('All Recipes'!$B$2:$B$554,MATCH(LARGE('All Recipes'!$M$2:$M$554,$G52),'All Recipes'!$M$2:$M$554,0)),IF($F52=2,INDEX('All Recipes'!$B$2:$B$554,MATCH(LARGE('All Recipes'!$N$2:$N$554,$G52),'All Recipes'!$N$2:$N$554,0)),IF($F52=3,INDEX('All Recipes'!$B$2:$B$554,MATCH(LARGE('All Recipes'!$O$2:$O$554,$G52),'All Recipes'!$O$2:$O$554,0)),""))),"")</f>
        <v/>
      </c>
      <c r="E52" s="23">
        <f t="array" ref="E52">IFERROR(IF($F52=1,INDEX('All Recipes'!$F$2:$F$554,MATCH(LARGE('All Recipes'!$M$2:$M$554,$G52),'All Recipes'!$M$2:$M$554,0)),IF($F52=2,INDEX('All Recipes'!$F$2:$F$554,MATCH(LARGE('All Recipes'!$N$2:$N$554,$G52),'All Recipes'!$N$2:$N$554,0)),IF($F52=3,INDEX('All Recipes'!$F$2:$F$554,MATCH(LARGE('All Recipes'!$O$2:$O$554,$G52),'All Recipes'!$O$2:$O$554,0)),""))),"")</f>
        <v/>
      </c>
      <c r="F52" s="20">
        <f>IF(10&lt;=$B$7,1,IF(10&lt;=$B$7+$C$7,2,IF(10&lt;=$B$7+$C$7+$D$7,3,0)))</f>
        <v/>
      </c>
      <c r="G52" s="20">
        <f>IF(10&lt;=$B$7,10,IF(10&lt;=$B$7+$C$7,10-$B$7,IF(10&lt;=$B$7+$C$7+$D$7,10-$B$7-$C$7,0)))</f>
        <v/>
      </c>
    </row>
    <row r="53" ht="15.75" customHeight="1" s="36">
      <c r="A53" s="17">
        <f>IF($F53=0,"",11)</f>
        <v/>
      </c>
      <c r="B53" s="17">
        <f>IF($F53=0,"",IF($F53=1,"Asian",IF($F53=2,"Chinese","Western")))</f>
        <v/>
      </c>
      <c r="C53" s="18">
        <f t="array" ref="C53">IFERROR(IF($F53=1,INDEX('All Recipes'!$A$2:$A$554,MATCH(LARGE('All Recipes'!$M$2:$M$554,$G53),'All Recipes'!$M$2:$M$554,0)),IF($F53=2,INDEX('All Recipes'!$A$2:$A$554,MATCH(LARGE('All Recipes'!$N$2:$N$554,$G53),'All Recipes'!$N$2:$N$554,0)),IF($F53=3,INDEX('All Recipes'!$A$2:$A$554,MATCH(LARGE('All Recipes'!$O$2:$O$554,$G53),'All Recipes'!$O$2:$O$554,0)),""))),"")</f>
        <v/>
      </c>
      <c r="D53" s="18">
        <f t="array" ref="D53">IFERROR(IF($F53=1,INDEX('All Recipes'!$B$2:$B$554,MATCH(LARGE('All Recipes'!$M$2:$M$554,$G53),'All Recipes'!$M$2:$M$554,0)),IF($F53=2,INDEX('All Recipes'!$B$2:$B$554,MATCH(LARGE('All Recipes'!$N$2:$N$554,$G53),'All Recipes'!$N$2:$N$554,0)),IF($F53=3,INDEX('All Recipes'!$B$2:$B$554,MATCH(LARGE('All Recipes'!$O$2:$O$554,$G53),'All Recipes'!$O$2:$O$554,0)),""))),"")</f>
        <v/>
      </c>
      <c r="E53" s="19">
        <f t="array" ref="E53">IFERROR(IF($F53=1,INDEX('All Recipes'!$F$2:$F$554,MATCH(LARGE('All Recipes'!$M$2:$M$554,$G53),'All Recipes'!$M$2:$M$554,0)),IF($F53=2,INDEX('All Recipes'!$F$2:$F$554,MATCH(LARGE('All Recipes'!$N$2:$N$554,$G53),'All Recipes'!$N$2:$N$554,0)),IF($F53=3,INDEX('All Recipes'!$F$2:$F$554,MATCH(LARGE('All Recipes'!$O$2:$O$554,$G53),'All Recipes'!$O$2:$O$554,0)),""))),"")</f>
        <v/>
      </c>
      <c r="F53" s="20">
        <f>IF(11&lt;=$B$7,1,IF(11&lt;=$B$7+$C$7,2,IF(11&lt;=$B$7+$C$7+$D$7,3,0)))</f>
        <v/>
      </c>
      <c r="G53" s="20">
        <f>IF(11&lt;=$B$7,11,IF(11&lt;=$B$7+$C$7,11-$B$7,IF(11&lt;=$B$7+$C$7+$D$7,11-$B$7-$C$7,0)))</f>
        <v/>
      </c>
    </row>
    <row r="54" ht="15.75" customHeight="1" s="36">
      <c r="A54" s="21">
        <f>IF($F54=0,"",12)</f>
        <v/>
      </c>
      <c r="B54" s="21">
        <f>IF($F54=0,"",IF($F54=1,"Asian",IF($F54=2,"Chinese","Western")))</f>
        <v/>
      </c>
      <c r="C54" s="22">
        <f t="array" ref="C54">IFERROR(IF($F54=1,INDEX('All Recipes'!$A$2:$A$554,MATCH(LARGE('All Recipes'!$M$2:$M$554,$G54),'All Recipes'!$M$2:$M$554,0)),IF($F54=2,INDEX('All Recipes'!$A$2:$A$554,MATCH(LARGE('All Recipes'!$N$2:$N$554,$G54),'All Recipes'!$N$2:$N$554,0)),IF($F54=3,INDEX('All Recipes'!$A$2:$A$554,MATCH(LARGE('All Recipes'!$O$2:$O$554,$G54),'All Recipes'!$O$2:$O$554,0)),""))),"")</f>
        <v/>
      </c>
      <c r="D54" s="22">
        <f t="array" ref="D54">IFERROR(IF($F54=1,INDEX('All Recipes'!$B$2:$B$554,MATCH(LARGE('All Recipes'!$M$2:$M$554,$G54),'All Recipes'!$M$2:$M$554,0)),IF($F54=2,INDEX('All Recipes'!$B$2:$B$554,MATCH(LARGE('All Recipes'!$N$2:$N$554,$G54),'All Recipes'!$N$2:$N$554,0)),IF($F54=3,INDEX('All Recipes'!$B$2:$B$554,MATCH(LARGE('All Recipes'!$O$2:$O$554,$G54),'All Recipes'!$O$2:$O$554,0)),""))),"")</f>
        <v/>
      </c>
      <c r="E54" s="23">
        <f t="array" ref="E54">IFERROR(IF($F54=1,INDEX('All Recipes'!$F$2:$F$554,MATCH(LARGE('All Recipes'!$M$2:$M$554,$G54),'All Recipes'!$M$2:$M$554,0)),IF($F54=2,INDEX('All Recipes'!$F$2:$F$554,MATCH(LARGE('All Recipes'!$N$2:$N$554,$G54),'All Recipes'!$N$2:$N$554,0)),IF($F54=3,INDEX('All Recipes'!$F$2:$F$554,MATCH(LARGE('All Recipes'!$O$2:$O$554,$G54),'All Recipes'!$O$2:$O$554,0)),""))),"")</f>
        <v/>
      </c>
      <c r="F54" s="20">
        <f>IF(12&lt;=$B$7,1,IF(12&lt;=$B$7+$C$7,2,IF(12&lt;=$B$7+$C$7+$D$7,3,0)))</f>
        <v/>
      </c>
      <c r="G54" s="20">
        <f>IF(12&lt;=$B$7,12,IF(12&lt;=$B$7+$C$7,12-$B$7,IF(12&lt;=$B$7+$C$7+$D$7,12-$B$7-$C$7,0)))</f>
        <v/>
      </c>
    </row>
    <row r="55" ht="15.75" customHeight="1" s="36"/>
    <row r="56" ht="15.75" customHeight="1" s="36"/>
    <row r="57" ht="15.75" customHeight="1" s="36"/>
    <row r="58" ht="15.75" customHeight="1" s="36"/>
    <row r="59" ht="15.75" customHeight="1" s="36"/>
    <row r="60" ht="15.75" customHeight="1" s="36"/>
    <row r="61" ht="15.75" customHeight="1" s="36"/>
    <row r="62" ht="15.75" customHeight="1" s="36"/>
    <row r="63" ht="15.75" customHeight="1" s="36"/>
    <row r="64" ht="15.75" customHeight="1" s="36"/>
    <row r="65" ht="15.75" customHeight="1" s="36"/>
    <row r="66" ht="15.75" customHeight="1" s="36"/>
    <row r="67" ht="15.75" customHeight="1" s="36"/>
    <row r="68" ht="15.75" customHeight="1" s="36"/>
    <row r="69" ht="15.75" customHeight="1" s="36"/>
    <row r="70" ht="15.75" customHeight="1" s="36"/>
    <row r="71" ht="15.75" customHeight="1" s="36"/>
    <row r="72" ht="15.75" customHeight="1" s="36"/>
    <row r="73" ht="15.75" customHeight="1" s="36"/>
    <row r="74" ht="15.75" customHeight="1" s="36"/>
    <row r="75" ht="15.75" customHeight="1" s="36"/>
    <row r="76" ht="15.75" customHeight="1" s="36"/>
    <row r="77" ht="15.75" customHeight="1" s="36"/>
    <row r="78" ht="15.75" customHeight="1" s="36"/>
    <row r="79" ht="15.75" customHeight="1" s="36"/>
    <row r="80" ht="15.75" customHeight="1" s="36"/>
    <row r="81" ht="15.75" customHeight="1" s="36"/>
    <row r="82" ht="15.75" customHeight="1" s="36"/>
    <row r="83" ht="15.75" customHeight="1" s="36"/>
    <row r="84" ht="15.75" customHeight="1" s="36"/>
    <row r="85" ht="15.75" customHeight="1" s="36"/>
    <row r="86" ht="15.75" customHeight="1" s="36"/>
    <row r="87" ht="15.75" customHeight="1" s="36"/>
    <row r="88" ht="15.75" customHeight="1" s="36"/>
    <row r="89" ht="15.75" customHeight="1" s="36"/>
    <row r="90" ht="15.75" customHeight="1" s="36"/>
    <row r="91" ht="15.75" customHeight="1" s="36"/>
    <row r="92" ht="15.75" customHeight="1" s="36"/>
    <row r="93" ht="15.75" customHeight="1" s="36"/>
    <row r="94" ht="15.75" customHeight="1" s="36"/>
    <row r="95" ht="15.75" customHeight="1" s="36"/>
    <row r="96" ht="15.75" customHeight="1" s="36"/>
    <row r="97" ht="15.75" customHeight="1" s="36"/>
    <row r="98" ht="15.75" customHeight="1" s="36"/>
    <row r="99" ht="15.75" customHeight="1" s="36"/>
    <row r="100" ht="15.75" customHeight="1" s="36"/>
    <row r="101" ht="15.75" customHeight="1" s="36"/>
    <row r="102" ht="15.75" customHeight="1" s="36"/>
    <row r="103" ht="15.75" customHeight="1" s="36"/>
    <row r="104" ht="15.75" customHeight="1" s="36"/>
    <row r="105" ht="15.75" customHeight="1" s="36"/>
    <row r="106" ht="15.75" customHeight="1" s="36"/>
    <row r="107" ht="15.75" customHeight="1" s="36"/>
    <row r="108" ht="15.75" customHeight="1" s="36"/>
    <row r="109" ht="15.75" customHeight="1" s="36"/>
    <row r="110" ht="15.75" customHeight="1" s="36"/>
    <row r="111" ht="15.75" customHeight="1" s="36"/>
    <row r="112" ht="15.75" customHeight="1" s="36"/>
    <row r="113" ht="15.75" customHeight="1" s="36"/>
    <row r="114" ht="15.75" customHeight="1" s="36"/>
    <row r="115" ht="15.75" customHeight="1" s="36"/>
    <row r="116" ht="15.75" customHeight="1" s="36"/>
    <row r="117" ht="15.75" customHeight="1" s="36"/>
    <row r="118" ht="15.75" customHeight="1" s="36"/>
    <row r="119" ht="15.75" customHeight="1" s="36"/>
    <row r="120" ht="15.75" customHeight="1" s="36"/>
    <row r="121" ht="15.75" customHeight="1" s="36"/>
    <row r="122" ht="15.75" customHeight="1" s="36"/>
    <row r="123" ht="15.75" customHeight="1" s="36"/>
    <row r="124" ht="15.75" customHeight="1" s="36"/>
    <row r="125" ht="15.75" customHeight="1" s="36"/>
    <row r="126" ht="15.75" customHeight="1" s="36"/>
    <row r="127" ht="15.75" customHeight="1" s="36"/>
    <row r="128" ht="15.75" customHeight="1" s="36"/>
    <row r="129" ht="15.75" customHeight="1" s="36"/>
    <row r="130" ht="15.75" customHeight="1" s="36"/>
    <row r="131" ht="15.75" customHeight="1" s="36"/>
    <row r="132" ht="15.75" customHeight="1" s="36"/>
    <row r="133" ht="15.75" customHeight="1" s="36"/>
    <row r="134" ht="15.75" customHeight="1" s="36"/>
    <row r="135" ht="15.75" customHeight="1" s="36"/>
    <row r="136" ht="15.75" customHeight="1" s="36"/>
    <row r="137" ht="15.75" customHeight="1" s="36"/>
    <row r="138" ht="15.75" customHeight="1" s="36"/>
    <row r="139" ht="15.75" customHeight="1" s="36"/>
    <row r="140" ht="15.75" customHeight="1" s="36"/>
    <row r="141" ht="15.75" customHeight="1" s="36"/>
    <row r="142" ht="15.75" customHeight="1" s="36"/>
    <row r="143" ht="15.75" customHeight="1" s="36"/>
    <row r="144" ht="15.75" customHeight="1" s="36"/>
    <row r="145" ht="15.75" customHeight="1" s="36"/>
    <row r="146" ht="15.75" customHeight="1" s="36"/>
    <row r="147" ht="15.75" customHeight="1" s="36"/>
    <row r="148" ht="15.75" customHeight="1" s="36"/>
    <row r="149" ht="15.75" customHeight="1" s="36"/>
    <row r="150" ht="15.75" customHeight="1" s="36"/>
    <row r="151" ht="15.75" customHeight="1" s="36"/>
    <row r="152" ht="15.75" customHeight="1" s="36"/>
    <row r="153" ht="15.75" customHeight="1" s="36"/>
    <row r="154" ht="15.75" customHeight="1" s="36"/>
    <row r="155" ht="15.75" customHeight="1" s="36"/>
    <row r="156" ht="15.75" customHeight="1" s="36"/>
    <row r="157" ht="15.75" customHeight="1" s="36"/>
    <row r="158" ht="15.75" customHeight="1" s="36"/>
    <row r="159" ht="15.75" customHeight="1" s="36"/>
    <row r="160" ht="15.75" customHeight="1" s="36"/>
    <row r="161" ht="15.75" customHeight="1" s="36"/>
    <row r="162" ht="15.75" customHeight="1" s="36"/>
    <row r="163" ht="15.75" customHeight="1" s="36"/>
    <row r="164" ht="15.75" customHeight="1" s="36"/>
    <row r="165" ht="15.75" customHeight="1" s="36"/>
    <row r="166" ht="15.75" customHeight="1" s="36"/>
    <row r="167" ht="15.75" customHeight="1" s="36"/>
    <row r="168" ht="15.75" customHeight="1" s="36"/>
    <row r="169" ht="15.75" customHeight="1" s="36"/>
    <row r="170" ht="15.75" customHeight="1" s="36"/>
    <row r="171" ht="15.75" customHeight="1" s="36"/>
    <row r="172" ht="15.75" customHeight="1" s="36"/>
    <row r="173" ht="15.75" customHeight="1" s="36"/>
    <row r="174" ht="15.75" customHeight="1" s="36"/>
    <row r="175" ht="15.75" customHeight="1" s="36"/>
    <row r="176" ht="15.75" customHeight="1" s="36"/>
    <row r="177" ht="15.75" customHeight="1" s="36"/>
    <row r="178" ht="15.75" customHeight="1" s="36"/>
    <row r="179" ht="15.75" customHeight="1" s="36"/>
    <row r="180" ht="15.75" customHeight="1" s="36"/>
    <row r="181" ht="15.75" customHeight="1" s="36"/>
    <row r="182" ht="15.75" customHeight="1" s="36"/>
    <row r="183" ht="15.75" customHeight="1" s="36"/>
    <row r="184" ht="15.75" customHeight="1" s="36"/>
    <row r="185" ht="15.75" customHeight="1" s="36"/>
    <row r="186" ht="15.75" customHeight="1" s="36"/>
    <row r="187" ht="15.75" customHeight="1" s="36"/>
    <row r="188" ht="15.75" customHeight="1" s="36"/>
    <row r="189" ht="15.75" customHeight="1" s="36"/>
    <row r="190" ht="15.75" customHeight="1" s="36"/>
    <row r="191" ht="15.75" customHeight="1" s="36"/>
    <row r="192" ht="15.75" customHeight="1" s="36"/>
    <row r="193" ht="15.75" customHeight="1" s="36"/>
    <row r="194" ht="15.75" customHeight="1" s="36"/>
    <row r="195" ht="15.75" customHeight="1" s="36"/>
    <row r="196" ht="15.75" customHeight="1" s="36"/>
    <row r="197" ht="15.75" customHeight="1" s="36"/>
    <row r="198" ht="15.75" customHeight="1" s="36"/>
    <row r="199" ht="15.75" customHeight="1" s="36"/>
    <row r="200" ht="15.75" customHeight="1" s="36"/>
    <row r="201" ht="15.75" customHeight="1" s="36"/>
    <row r="202" ht="15.75" customHeight="1" s="36"/>
    <row r="203" ht="15.75" customHeight="1" s="36"/>
    <row r="204" ht="15.75" customHeight="1" s="36"/>
    <row r="205" ht="15.75" customHeight="1" s="36"/>
    <row r="206" ht="15.75" customHeight="1" s="36"/>
    <row r="207" ht="15.75" customHeight="1" s="36"/>
    <row r="208" ht="15.75" customHeight="1" s="36"/>
    <row r="209" ht="15.75" customHeight="1" s="36"/>
    <row r="210" ht="15.75" customHeight="1" s="36"/>
    <row r="211" ht="15.75" customHeight="1" s="36"/>
    <row r="212" ht="15.75" customHeight="1" s="36"/>
    <row r="213" ht="15.75" customHeight="1" s="36"/>
    <row r="214" ht="15.75" customHeight="1" s="36"/>
    <row r="215" ht="15.75" customHeight="1" s="36"/>
    <row r="216" ht="15.75" customHeight="1" s="36"/>
    <row r="217" ht="15.75" customHeight="1" s="36"/>
    <row r="218" ht="15.75" customHeight="1" s="36"/>
    <row r="219" ht="15.75" customHeight="1" s="36"/>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mergeCells count="6">
    <mergeCell ref="B9:E9"/>
    <mergeCell ref="A26:E26"/>
    <mergeCell ref="A2:E2"/>
    <mergeCell ref="A41:E41"/>
    <mergeCell ref="A11:E11"/>
    <mergeCell ref="A1:E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P554"/>
  <sheetViews>
    <sheetView showGridLines="0" workbookViewId="0">
      <pane ySplit="1" topLeftCell="A2" activePane="bottomLeft" state="frozen"/>
      <selection pane="bottomLeft" activeCell="B3" sqref="B3"/>
    </sheetView>
  </sheetViews>
  <sheetFormatPr baseColWidth="8" defaultColWidth="14.43" defaultRowHeight="15" customHeight="1"/>
  <cols>
    <col width="34" customWidth="1" style="36" min="1" max="1"/>
    <col width="60" customWidth="1" style="36" min="2" max="2"/>
    <col width="15" customWidth="1" style="36" min="3" max="3"/>
    <col width="10" customWidth="1" style="36" min="4" max="4"/>
    <col width="11" customWidth="1" style="36" min="5" max="5"/>
    <col width="46" customWidth="1" style="36" min="6" max="6"/>
    <col hidden="1" width="13" customWidth="1" style="36" min="7" max="15"/>
    <col width="8.710000000000001" customWidth="1" style="36" min="16" max="26"/>
  </cols>
  <sheetData>
    <row r="1">
      <c r="A1" s="16" t="inlineStr">
        <is>
          <t>Recipe</t>
        </is>
      </c>
      <c r="B1" s="16" t="inlineStr">
        <is>
          <t>Ingredients</t>
        </is>
      </c>
      <c r="C1" s="4" t="inlineStr">
        <is>
          <t>Meal Type</t>
        </is>
      </c>
      <c r="D1" s="4" t="inlineStr">
        <is>
          <t>Cuisine</t>
        </is>
      </c>
      <c r="E1" s="4" t="inlineStr">
        <is>
          <t>Confidence</t>
        </is>
      </c>
      <c r="F1" s="4" t="inlineStr">
        <is>
          <t>Link</t>
        </is>
      </c>
      <c r="G1" s="4" t="inlineStr">
        <is>
          <t>bA</t>
        </is>
      </c>
      <c r="H1" s="4" t="inlineStr">
        <is>
          <t>bC</t>
        </is>
      </c>
      <c r="I1" s="4" t="inlineStr">
        <is>
          <t>bW</t>
        </is>
      </c>
      <c r="J1" s="4" t="inlineStr">
        <is>
          <t>lA</t>
        </is>
      </c>
      <c r="K1" s="4" t="inlineStr">
        <is>
          <t>lC</t>
        </is>
      </c>
      <c r="L1" s="4" t="inlineStr">
        <is>
          <t>lW</t>
        </is>
      </c>
      <c r="M1" s="4" t="inlineStr">
        <is>
          <t>dA</t>
        </is>
      </c>
      <c r="N1" s="4" t="inlineStr">
        <is>
          <t>dC</t>
        </is>
      </c>
      <c r="O1" s="4" t="inlineStr">
        <is>
          <t>dW</t>
        </is>
      </c>
      <c r="P1" s="0" t="inlineStr">
        <is>
          <t>Soup</t>
        </is>
      </c>
    </row>
    <row r="2">
      <c r="A2" s="18" t="inlineStr">
        <is>
          <t>4 bean stir fry</t>
        </is>
      </c>
      <c r="B2" s="18" t="inlineStr">
        <is>
          <t>Pinto Beans, Sweet Corn Can, Green bell pepper, Onion, Paprika</t>
        </is>
      </c>
      <c r="C2" s="17" t="inlineStr">
        <is>
          <t>Dinner</t>
        </is>
      </c>
      <c r="D2" s="26" t="inlineStr">
        <is>
          <t>Chinese</t>
        </is>
      </c>
      <c r="E2" s="17" t="inlineStr">
        <is>
          <t>Med</t>
        </is>
      </c>
      <c r="F2" s="19" t="inlineStr">
        <is>
          <t>https://www.kitchenstories.com/en/recipes/4-ingredient-bean-stir-fry-c72f</t>
        </is>
      </c>
      <c r="G2" s="27">
        <f>IF(AND(ISNUMBER(SEARCH("Breakfast",$C2)),$D2="Asian"),RAND(),"")</f>
        <v/>
      </c>
      <c r="H2" s="27">
        <f>IF(AND(ISNUMBER(SEARCH("Breakfast",$C2)),$D2="Chinese"),RAND(),"")</f>
        <v/>
      </c>
      <c r="I2" s="27">
        <f>IF(AND(ISNUMBER(SEARCH("Breakfast",$C2)),$D2="Western"),RAND(),"")</f>
        <v/>
      </c>
      <c r="J2" s="27">
        <f>IF(AND(ISNUMBER(SEARCH("Lunch",$C2)),$D2="Asian"),RAND(),"")</f>
        <v/>
      </c>
      <c r="K2" s="27">
        <f>IF(AND(ISNUMBER(SEARCH("Lunch",$C2)),$D2="Chinese"),RAND(),"")</f>
        <v/>
      </c>
      <c r="L2" s="27">
        <f>IF(AND(ISNUMBER(SEARCH("Lunch",$C2)),$D2="Western"),RAND(),"")</f>
        <v/>
      </c>
      <c r="M2" s="27">
        <f>IF(AND(ISNUMBER(SEARCH("Dinner",$C2)),$D2="Asian"),RAND(),"")</f>
        <v/>
      </c>
      <c r="N2" s="27">
        <f>IF(AND(ISNUMBER(SEARCH("Dinner",$C2)),$D2="Chinese"),RAND(),"")</f>
        <v/>
      </c>
      <c r="O2" s="27">
        <f>IF(AND(ISNUMBER(SEARCH("Dinner",$C2)),$D2="Western"),RAND(),"")</f>
        <v/>
      </c>
    </row>
    <row r="3">
      <c r="A3" s="22" t="inlineStr">
        <is>
          <t>A1 BKT</t>
        </is>
      </c>
      <c r="B3" s="22" t="inlineStr">
        <is>
          <t>Soup Pack, 西施骨, 猪筒骨, Garlic, Soy Sauce</t>
        </is>
      </c>
      <c r="C3" s="21" t="inlineStr">
        <is>
          <t>Dinner</t>
        </is>
      </c>
      <c r="D3" s="26" t="inlineStr">
        <is>
          <t>Chinese</t>
        </is>
      </c>
      <c r="E3" s="21" t="inlineStr">
        <is>
          <t>High</t>
        </is>
      </c>
      <c r="F3" s="22" t="n"/>
      <c r="G3" s="28">
        <f>IF(AND(ISNUMBER(SEARCH("Breakfast",$C3)),$D3="Asian"),RAND(),"")</f>
        <v/>
      </c>
      <c r="H3" s="28">
        <f>IF(AND(ISNUMBER(SEARCH("Breakfast",$C3)),$D3="Chinese"),RAND(),"")</f>
        <v/>
      </c>
      <c r="I3" s="28">
        <f>IF(AND(ISNUMBER(SEARCH("Breakfast",$C3)),$D3="Western"),RAND(),"")</f>
        <v/>
      </c>
      <c r="J3" s="28">
        <f>IF(AND(ISNUMBER(SEARCH("Lunch",$C3)),$D3="Asian"),RAND(),"")</f>
        <v/>
      </c>
      <c r="K3" s="28">
        <f>IF(AND(ISNUMBER(SEARCH("Lunch",$C3)),$D3="Chinese"),RAND(),"")</f>
        <v/>
      </c>
      <c r="L3" s="28">
        <f>IF(AND(ISNUMBER(SEARCH("Lunch",$C3)),$D3="Western"),RAND(),"")</f>
        <v/>
      </c>
      <c r="M3" s="28">
        <f>IF(AND(ISNUMBER(SEARCH("Dinner",$C3)),$D3="Asian"),RAND(),"")</f>
        <v/>
      </c>
      <c r="N3" s="28">
        <f>IF(AND(ISNUMBER(SEARCH("Dinner",$C3)),$D3="Chinese"),RAND(),"")</f>
        <v/>
      </c>
      <c r="O3" s="28">
        <f>IF(AND(ISNUMBER(SEARCH("Dinner",$C3)),$D3="Western"),RAND(),"")</f>
        <v/>
      </c>
    </row>
    <row r="4">
      <c r="A4" s="18" t="inlineStr">
        <is>
          <t>A1 chicken Soup</t>
        </is>
      </c>
      <c r="B4" s="18" t="inlineStr">
        <is>
          <t>Chicken Thigh, Chicken Soup Pack, Garlic, Soy Sauce, Oyster Sauce</t>
        </is>
      </c>
      <c r="C4" s="17" t="inlineStr">
        <is>
          <t>Dinner</t>
        </is>
      </c>
      <c r="D4" s="26" t="inlineStr">
        <is>
          <t>Chinese</t>
        </is>
      </c>
      <c r="E4" s="17" t="inlineStr">
        <is>
          <t>Med</t>
        </is>
      </c>
      <c r="F4" s="18" t="n"/>
      <c r="G4" s="27">
        <f>IF(AND(ISNUMBER(SEARCH("Breakfast",$C4)),$D4="Asian"),RAND(),"")</f>
        <v/>
      </c>
      <c r="H4" s="27">
        <f>IF(AND(ISNUMBER(SEARCH("Breakfast",$C4)),$D4="Chinese"),RAND(),"")</f>
        <v/>
      </c>
      <c r="I4" s="27">
        <f>IF(AND(ISNUMBER(SEARCH("Breakfast",$C4)),$D4="Western"),RAND(),"")</f>
        <v/>
      </c>
      <c r="J4" s="27">
        <f>IF(AND(ISNUMBER(SEARCH("Lunch",$C4)),$D4="Asian"),RAND(),"")</f>
        <v/>
      </c>
      <c r="K4" s="27">
        <f>IF(AND(ISNUMBER(SEARCH("Lunch",$C4)),$D4="Chinese"),RAND(),"")</f>
        <v/>
      </c>
      <c r="L4" s="27">
        <f>IF(AND(ISNUMBER(SEARCH("Lunch",$C4)),$D4="Western"),RAND(),"")</f>
        <v/>
      </c>
      <c r="M4" s="27">
        <f>IF(AND(ISNUMBER(SEARCH("Dinner",$C4)),$D4="Asian"),RAND(),"")</f>
        <v/>
      </c>
      <c r="N4" s="27">
        <f>IF(AND(ISNUMBER(SEARCH("Dinner",$C4)),$D4="Chinese"),RAND(),"")</f>
        <v/>
      </c>
      <c r="O4" s="27">
        <f>IF(AND(ISNUMBER(SEARCH("Dinner",$C4)),$D4="Western"),RAND(),"")</f>
        <v/>
      </c>
      <c r="P4" s="0" t="b">
        <v>1</v>
      </c>
    </row>
    <row r="5">
      <c r="A5" s="22" t="inlineStr">
        <is>
          <t>Abalone Shredded Chicken</t>
        </is>
      </c>
      <c r="B5" s="22" t="inlineStr">
        <is>
          <t>canned abalone, Chicken Thigh, Rice, Fried Shallots, Soy Sauce, Spring Onion, Coriander</t>
        </is>
      </c>
      <c r="C5" s="21" t="inlineStr">
        <is>
          <t>Dinner</t>
        </is>
      </c>
      <c r="D5" s="26" t="inlineStr">
        <is>
          <t>Chinese</t>
        </is>
      </c>
      <c r="E5" s="21" t="inlineStr">
        <is>
          <t>Med</t>
        </is>
      </c>
      <c r="F5" s="23" t="inlineStr">
        <is>
          <t>https://www.instagram.com/reel/DFpctMSp2HZ/?igsh=MWo5dDZiY3E4ZXRiZg==</t>
        </is>
      </c>
      <c r="G5" s="28">
        <f>IF(AND(ISNUMBER(SEARCH("Breakfast",$C5)),$D5="Asian"),RAND(),"")</f>
        <v/>
      </c>
      <c r="H5" s="28">
        <f>IF(AND(ISNUMBER(SEARCH("Breakfast",$C5)),$D5="Chinese"),RAND(),"")</f>
        <v/>
      </c>
      <c r="I5" s="28">
        <f>IF(AND(ISNUMBER(SEARCH("Breakfast",$C5)),$D5="Western"),RAND(),"")</f>
        <v/>
      </c>
      <c r="J5" s="28">
        <f>IF(AND(ISNUMBER(SEARCH("Lunch",$C5)),$D5="Asian"),RAND(),"")</f>
        <v/>
      </c>
      <c r="K5" s="28">
        <f>IF(AND(ISNUMBER(SEARCH("Lunch",$C5)),$D5="Chinese"),RAND(),"")</f>
        <v/>
      </c>
      <c r="L5" s="28">
        <f>IF(AND(ISNUMBER(SEARCH("Lunch",$C5)),$D5="Western"),RAND(),"")</f>
        <v/>
      </c>
      <c r="M5" s="28">
        <f>IF(AND(ISNUMBER(SEARCH("Dinner",$C5)),$D5="Asian"),RAND(),"")</f>
        <v/>
      </c>
      <c r="N5" s="28">
        <f>IF(AND(ISNUMBER(SEARCH("Dinner",$C5)),$D5="Chinese"),RAND(),"")</f>
        <v/>
      </c>
      <c r="O5" s="28">
        <f>IF(AND(ISNUMBER(SEARCH("Dinner",$C5)),$D5="Western"),RAND(),"")</f>
        <v/>
      </c>
    </row>
    <row r="6">
      <c r="A6" s="18" t="inlineStr">
        <is>
          <t>ABC soup</t>
        </is>
      </c>
      <c r="B6" s="18" t="inlineStr">
        <is>
          <t>—</t>
        </is>
      </c>
      <c r="C6" s="17" t="inlineStr">
        <is>
          <t>Dinner</t>
        </is>
      </c>
      <c r="D6" s="26" t="inlineStr">
        <is>
          <t>Chinese</t>
        </is>
      </c>
      <c r="E6" s="17" t="inlineStr">
        <is>
          <t>Low</t>
        </is>
      </c>
      <c r="F6" s="18" t="n"/>
      <c r="G6" s="27">
        <f>IF(AND(ISNUMBER(SEARCH("Breakfast",$C6)),$D6="Asian"),RAND(),"")</f>
        <v/>
      </c>
      <c r="H6" s="27">
        <f>IF(AND(ISNUMBER(SEARCH("Breakfast",$C6)),$D6="Chinese"),RAND(),"")</f>
        <v/>
      </c>
      <c r="I6" s="27">
        <f>IF(AND(ISNUMBER(SEARCH("Breakfast",$C6)),$D6="Western"),RAND(),"")</f>
        <v/>
      </c>
      <c r="J6" s="27">
        <f>IF(AND(ISNUMBER(SEARCH("Lunch",$C6)),$D6="Asian"),RAND(),"")</f>
        <v/>
      </c>
      <c r="K6" s="27">
        <f>IF(AND(ISNUMBER(SEARCH("Lunch",$C6)),$D6="Chinese"),RAND(),"")</f>
        <v/>
      </c>
      <c r="L6" s="27">
        <f>IF(AND(ISNUMBER(SEARCH("Lunch",$C6)),$D6="Western"),RAND(),"")</f>
        <v/>
      </c>
      <c r="M6" s="27">
        <f>IF(AND(ISNUMBER(SEARCH("Dinner",$C6)),$D6="Asian"),RAND(),"")</f>
        <v/>
      </c>
      <c r="N6" s="27">
        <f>IF(AND(ISNUMBER(SEARCH("Dinner",$C6)),$D6="Chinese"),RAND(),"")</f>
        <v/>
      </c>
      <c r="O6" s="27">
        <f>IF(AND(ISNUMBER(SEARCH("Dinner",$C6)),$D6="Western"),RAND(),"")</f>
        <v/>
      </c>
      <c r="P6" s="0" t="b">
        <v>1</v>
      </c>
    </row>
    <row r="7">
      <c r="A7" s="22" t="inlineStr">
        <is>
          <t>Agedashi Tofu</t>
        </is>
      </c>
      <c r="B7" s="22" t="inlineStr">
        <is>
          <t>Tofu, Green Onion, Ginger, Mirin, Dashi Powder, Potato Starch</t>
        </is>
      </c>
      <c r="C7" s="21" t="inlineStr">
        <is>
          <t>Dinner</t>
        </is>
      </c>
      <c r="D7" s="29" t="inlineStr">
        <is>
          <t>Asian</t>
        </is>
      </c>
      <c r="E7" s="21" t="inlineStr">
        <is>
          <t>High</t>
        </is>
      </c>
      <c r="F7" s="23" t="inlineStr">
        <is>
          <t>https://youtu.be/70AR0pCcaT4</t>
        </is>
      </c>
      <c r="G7" s="28">
        <f>IF(AND(ISNUMBER(SEARCH("Breakfast",$C7)),$D7="Asian"),RAND(),"")</f>
        <v/>
      </c>
      <c r="H7" s="28">
        <f>IF(AND(ISNUMBER(SEARCH("Breakfast",$C7)),$D7="Chinese"),RAND(),"")</f>
        <v/>
      </c>
      <c r="I7" s="28">
        <f>IF(AND(ISNUMBER(SEARCH("Breakfast",$C7)),$D7="Western"),RAND(),"")</f>
        <v/>
      </c>
      <c r="J7" s="28">
        <f>IF(AND(ISNUMBER(SEARCH("Lunch",$C7)),$D7="Asian"),RAND(),"")</f>
        <v/>
      </c>
      <c r="K7" s="28">
        <f>IF(AND(ISNUMBER(SEARCH("Lunch",$C7)),$D7="Chinese"),RAND(),"")</f>
        <v/>
      </c>
      <c r="L7" s="28">
        <f>IF(AND(ISNUMBER(SEARCH("Lunch",$C7)),$D7="Western"),RAND(),"")</f>
        <v/>
      </c>
      <c r="M7" s="28">
        <f>IF(AND(ISNUMBER(SEARCH("Dinner",$C7)),$D7="Asian"),RAND(),"")</f>
        <v/>
      </c>
      <c r="N7" s="28">
        <f>IF(AND(ISNUMBER(SEARCH("Dinner",$C7)),$D7="Chinese"),RAND(),"")</f>
        <v/>
      </c>
      <c r="O7" s="28">
        <f>IF(AND(ISNUMBER(SEARCH("Dinner",$C7)),$D7="Western"),RAND(),"")</f>
        <v/>
      </c>
    </row>
    <row r="8">
      <c r="A8" s="18" t="inlineStr">
        <is>
          <t>Agile Olio</t>
        </is>
      </c>
      <c r="B8" s="18" t="inlineStr">
        <is>
          <t>Spaghetti, Garlic, Parmasean Cheese</t>
        </is>
      </c>
      <c r="C8" s="17" t="inlineStr">
        <is>
          <t>Dinner</t>
        </is>
      </c>
      <c r="D8" s="30" t="inlineStr">
        <is>
          <t>Western</t>
        </is>
      </c>
      <c r="E8" s="17" t="inlineStr">
        <is>
          <t>Med</t>
        </is>
      </c>
      <c r="F8" s="19" t="inlineStr">
        <is>
          <t>https://www.instagram.com/reel/DAnDsuftWKb/?igsh=MjFmNnhpeDducWdv</t>
        </is>
      </c>
      <c r="G8" s="27">
        <f>IF(AND(ISNUMBER(SEARCH("Breakfast",$C8)),$D8="Asian"),RAND(),"")</f>
        <v/>
      </c>
      <c r="H8" s="27">
        <f>IF(AND(ISNUMBER(SEARCH("Breakfast",$C8)),$D8="Chinese"),RAND(),"")</f>
        <v/>
      </c>
      <c r="I8" s="27">
        <f>IF(AND(ISNUMBER(SEARCH("Breakfast",$C8)),$D8="Western"),RAND(),"")</f>
        <v/>
      </c>
      <c r="J8" s="27">
        <f>IF(AND(ISNUMBER(SEARCH("Lunch",$C8)),$D8="Asian"),RAND(),"")</f>
        <v/>
      </c>
      <c r="K8" s="27">
        <f>IF(AND(ISNUMBER(SEARCH("Lunch",$C8)),$D8="Chinese"),RAND(),"")</f>
        <v/>
      </c>
      <c r="L8" s="27">
        <f>IF(AND(ISNUMBER(SEARCH("Lunch",$C8)),$D8="Western"),RAND(),"")</f>
        <v/>
      </c>
      <c r="M8" s="27">
        <f>IF(AND(ISNUMBER(SEARCH("Dinner",$C8)),$D8="Asian"),RAND(),"")</f>
        <v/>
      </c>
      <c r="N8" s="27">
        <f>IF(AND(ISNUMBER(SEARCH("Dinner",$C8)),$D8="Chinese"),RAND(),"")</f>
        <v/>
      </c>
      <c r="O8" s="27">
        <f>IF(AND(ISNUMBER(SEARCH("Dinner",$C8)),$D8="Western"),RAND(),"")</f>
        <v/>
      </c>
    </row>
    <row r="9">
      <c r="A9" s="22" t="inlineStr">
        <is>
          <t>Agilo Olio</t>
        </is>
      </c>
      <c r="B9" s="22" t="inlineStr">
        <is>
          <t>Spaghetti, Garlic, Parsley, Cheese, Shrimp</t>
        </is>
      </c>
      <c r="C9" s="21" t="inlineStr">
        <is>
          <t>Dinner</t>
        </is>
      </c>
      <c r="D9" s="30" t="inlineStr">
        <is>
          <t>Western</t>
        </is>
      </c>
      <c r="E9" s="21" t="inlineStr">
        <is>
          <t>Med</t>
        </is>
      </c>
      <c r="F9" s="23" t="inlineStr">
        <is>
          <t>https://www.instagram.com/reel/DAn-B95S1Uo/?igsh=MW03cGN0dDRud3Vzdw==</t>
        </is>
      </c>
      <c r="G9" s="28">
        <f>IF(AND(ISNUMBER(SEARCH("Breakfast",$C9)),$D9="Asian"),RAND(),"")</f>
        <v/>
      </c>
      <c r="H9" s="28">
        <f>IF(AND(ISNUMBER(SEARCH("Breakfast",$C9)),$D9="Chinese"),RAND(),"")</f>
        <v/>
      </c>
      <c r="I9" s="28">
        <f>IF(AND(ISNUMBER(SEARCH("Breakfast",$C9)),$D9="Western"),RAND(),"")</f>
        <v/>
      </c>
      <c r="J9" s="28">
        <f>IF(AND(ISNUMBER(SEARCH("Lunch",$C9)),$D9="Asian"),RAND(),"")</f>
        <v/>
      </c>
      <c r="K9" s="28">
        <f>IF(AND(ISNUMBER(SEARCH("Lunch",$C9)),$D9="Chinese"),RAND(),"")</f>
        <v/>
      </c>
      <c r="L9" s="28">
        <f>IF(AND(ISNUMBER(SEARCH("Lunch",$C9)),$D9="Western"),RAND(),"")</f>
        <v/>
      </c>
      <c r="M9" s="28">
        <f>IF(AND(ISNUMBER(SEARCH("Dinner",$C9)),$D9="Asian"),RAND(),"")</f>
        <v/>
      </c>
      <c r="N9" s="28">
        <f>IF(AND(ISNUMBER(SEARCH("Dinner",$C9)),$D9="Chinese"),RAND(),"")</f>
        <v/>
      </c>
      <c r="O9" s="28">
        <f>IF(AND(ISNUMBER(SEARCH("Dinner",$C9)),$D9="Western"),RAND(),"")</f>
        <v/>
      </c>
    </row>
    <row r="10">
      <c r="A10" s="18" t="inlineStr">
        <is>
          <t>Almond Milk Miso Soup</t>
        </is>
      </c>
      <c r="B10" s="18" t="inlineStr">
        <is>
          <t>Almond Milk, Miso, Small Yam, Enoki Mushroom, 杏鲍菇</t>
        </is>
      </c>
      <c r="C10" s="17" t="inlineStr">
        <is>
          <t>Dinner</t>
        </is>
      </c>
      <c r="D10" s="29" t="inlineStr">
        <is>
          <t>Asian</t>
        </is>
      </c>
      <c r="E10" s="17" t="inlineStr">
        <is>
          <t>Med</t>
        </is>
      </c>
      <c r="F10" s="19" t="inlineStr">
        <is>
          <t>https://www.instagram.com/reel/C8vemJzP1Fc/?igsh=YWRobDFnZWIxam4w</t>
        </is>
      </c>
      <c r="G10" s="27">
        <f>IF(AND(ISNUMBER(SEARCH("Breakfast",$C10)),$D10="Asian"),RAND(),"")</f>
        <v/>
      </c>
      <c r="H10" s="27">
        <f>IF(AND(ISNUMBER(SEARCH("Breakfast",$C10)),$D10="Chinese"),RAND(),"")</f>
        <v/>
      </c>
      <c r="I10" s="27">
        <f>IF(AND(ISNUMBER(SEARCH("Breakfast",$C10)),$D10="Western"),RAND(),"")</f>
        <v/>
      </c>
      <c r="J10" s="27">
        <f>IF(AND(ISNUMBER(SEARCH("Lunch",$C10)),$D10="Asian"),RAND(),"")</f>
        <v/>
      </c>
      <c r="K10" s="27">
        <f>IF(AND(ISNUMBER(SEARCH("Lunch",$C10)),$D10="Chinese"),RAND(),"")</f>
        <v/>
      </c>
      <c r="L10" s="27">
        <f>IF(AND(ISNUMBER(SEARCH("Lunch",$C10)),$D10="Western"),RAND(),"")</f>
        <v/>
      </c>
      <c r="M10" s="27">
        <f>IF(AND(ISNUMBER(SEARCH("Dinner",$C10)),$D10="Asian"),RAND(),"")</f>
        <v/>
      </c>
      <c r="N10" s="27">
        <f>IF(AND(ISNUMBER(SEARCH("Dinner",$C10)),$D10="Chinese"),RAND(),"")</f>
        <v/>
      </c>
      <c r="O10" s="27">
        <f>IF(AND(ISNUMBER(SEARCH("Dinner",$C10)),$D10="Western"),RAND(),"")</f>
        <v/>
      </c>
      <c r="P10" s="0" t="b">
        <v>1</v>
      </c>
    </row>
    <row r="11">
      <c r="A11" s="22" t="inlineStr">
        <is>
          <t>Asparangus</t>
        </is>
      </c>
      <c r="B11" s="22" t="inlineStr">
        <is>
          <t>Virgin Oliveoil, salt, black pepper, Vege</t>
        </is>
      </c>
      <c r="C11" s="21" t="inlineStr">
        <is>
          <t>Dinner</t>
        </is>
      </c>
      <c r="D11" s="30" t="inlineStr">
        <is>
          <t>Western</t>
        </is>
      </c>
      <c r="E11" s="21" t="inlineStr">
        <is>
          <t>Low</t>
        </is>
      </c>
      <c r="F11" s="23" t="inlineStr">
        <is>
          <t>https://youtu.be/VVKtYsxkrL4</t>
        </is>
      </c>
      <c r="G11" s="28">
        <f>IF(AND(ISNUMBER(SEARCH("Breakfast",$C11)),$D11="Asian"),RAND(),"")</f>
        <v/>
      </c>
      <c r="H11" s="28">
        <f>IF(AND(ISNUMBER(SEARCH("Breakfast",$C11)),$D11="Chinese"),RAND(),"")</f>
        <v/>
      </c>
      <c r="I11" s="28">
        <f>IF(AND(ISNUMBER(SEARCH("Breakfast",$C11)),$D11="Western"),RAND(),"")</f>
        <v/>
      </c>
      <c r="J11" s="28">
        <f>IF(AND(ISNUMBER(SEARCH("Lunch",$C11)),$D11="Asian"),RAND(),"")</f>
        <v/>
      </c>
      <c r="K11" s="28">
        <f>IF(AND(ISNUMBER(SEARCH("Lunch",$C11)),$D11="Chinese"),RAND(),"")</f>
        <v/>
      </c>
      <c r="L11" s="28">
        <f>IF(AND(ISNUMBER(SEARCH("Lunch",$C11)),$D11="Western"),RAND(),"")</f>
        <v/>
      </c>
      <c r="M11" s="28">
        <f>IF(AND(ISNUMBER(SEARCH("Dinner",$C11)),$D11="Asian"),RAND(),"")</f>
        <v/>
      </c>
      <c r="N11" s="28">
        <f>IF(AND(ISNUMBER(SEARCH("Dinner",$C11)),$D11="Chinese"),RAND(),"")</f>
        <v/>
      </c>
      <c r="O11" s="28">
        <f>IF(AND(ISNUMBER(SEARCH("Dinner",$C11)),$D11="Western"),RAND(),"")</f>
        <v/>
      </c>
    </row>
    <row r="12">
      <c r="A12" s="18" t="inlineStr">
        <is>
          <t>Avocado Prawn salad</t>
        </is>
      </c>
      <c r="B12" s="18" t="inlineStr">
        <is>
          <t>—</t>
        </is>
      </c>
      <c r="C12" s="17" t="inlineStr">
        <is>
          <t>Lunch</t>
        </is>
      </c>
      <c r="D12" s="30" t="inlineStr">
        <is>
          <t>Western</t>
        </is>
      </c>
      <c r="E12" s="17" t="inlineStr">
        <is>
          <t>Med</t>
        </is>
      </c>
      <c r="F12" s="18" t="n"/>
      <c r="G12" s="27">
        <f>IF(AND(ISNUMBER(SEARCH("Breakfast",$C12)),$D12="Asian"),RAND(),"")</f>
        <v/>
      </c>
      <c r="H12" s="27">
        <f>IF(AND(ISNUMBER(SEARCH("Breakfast",$C12)),$D12="Chinese"),RAND(),"")</f>
        <v/>
      </c>
      <c r="I12" s="27">
        <f>IF(AND(ISNUMBER(SEARCH("Breakfast",$C12)),$D12="Western"),RAND(),"")</f>
        <v/>
      </c>
      <c r="J12" s="27">
        <f>IF(AND(ISNUMBER(SEARCH("Lunch",$C12)),$D12="Asian"),RAND(),"")</f>
        <v/>
      </c>
      <c r="K12" s="27">
        <f>IF(AND(ISNUMBER(SEARCH("Lunch",$C12)),$D12="Chinese"),RAND(),"")</f>
        <v/>
      </c>
      <c r="L12" s="27">
        <f>IF(AND(ISNUMBER(SEARCH("Lunch",$C12)),$D12="Western"),RAND(),"")</f>
        <v/>
      </c>
      <c r="M12" s="27">
        <f>IF(AND(ISNUMBER(SEARCH("Dinner",$C12)),$D12="Asian"),RAND(),"")</f>
        <v/>
      </c>
      <c r="N12" s="27">
        <f>IF(AND(ISNUMBER(SEARCH("Dinner",$C12)),$D12="Chinese"),RAND(),"")</f>
        <v/>
      </c>
      <c r="O12" s="27">
        <f>IF(AND(ISNUMBER(SEARCH("Dinner",$C12)),$D12="Western"),RAND(),"")</f>
        <v/>
      </c>
    </row>
    <row r="13">
      <c r="A13" s="22" t="inlineStr">
        <is>
          <t>Avocado Tofu</t>
        </is>
      </c>
      <c r="B13" s="22" t="inlineStr">
        <is>
          <t>Avocado, Tofu, Wasabi, Soya Sauce, Sesame</t>
        </is>
      </c>
      <c r="C13" s="21" t="inlineStr">
        <is>
          <t>Dinner</t>
        </is>
      </c>
      <c r="D13" s="26" t="inlineStr">
        <is>
          <t>Chinese</t>
        </is>
      </c>
      <c r="E13" s="21" t="inlineStr">
        <is>
          <t>Med</t>
        </is>
      </c>
      <c r="F13" s="23" t="inlineStr">
        <is>
          <t>http://xhslink.com/OsHmJq</t>
        </is>
      </c>
      <c r="G13" s="28">
        <f>IF(AND(ISNUMBER(SEARCH("Breakfast",$C13)),$D13="Asian"),RAND(),"")</f>
        <v/>
      </c>
      <c r="H13" s="28">
        <f>IF(AND(ISNUMBER(SEARCH("Breakfast",$C13)),$D13="Chinese"),RAND(),"")</f>
        <v/>
      </c>
      <c r="I13" s="28">
        <f>IF(AND(ISNUMBER(SEARCH("Breakfast",$C13)),$D13="Western"),RAND(),"")</f>
        <v/>
      </c>
      <c r="J13" s="28">
        <f>IF(AND(ISNUMBER(SEARCH("Lunch",$C13)),$D13="Asian"),RAND(),"")</f>
        <v/>
      </c>
      <c r="K13" s="28">
        <f>IF(AND(ISNUMBER(SEARCH("Lunch",$C13)),$D13="Chinese"),RAND(),"")</f>
        <v/>
      </c>
      <c r="L13" s="28">
        <f>IF(AND(ISNUMBER(SEARCH("Lunch",$C13)),$D13="Western"),RAND(),"")</f>
        <v/>
      </c>
      <c r="M13" s="28">
        <f>IF(AND(ISNUMBER(SEARCH("Dinner",$C13)),$D13="Asian"),RAND(),"")</f>
        <v/>
      </c>
      <c r="N13" s="28">
        <f>IF(AND(ISNUMBER(SEARCH("Dinner",$C13)),$D13="Chinese"),RAND(),"")</f>
        <v/>
      </c>
      <c r="O13" s="28">
        <f>IF(AND(ISNUMBER(SEARCH("Dinner",$C13)),$D13="Western"),RAND(),"")</f>
        <v/>
      </c>
    </row>
    <row r="14">
      <c r="A14" s="18" t="inlineStr">
        <is>
          <t>Ayam Bakar</t>
        </is>
      </c>
      <c r="B14" s="18" t="inlineStr">
        <is>
          <t>—</t>
        </is>
      </c>
      <c r="C14" s="17" t="inlineStr">
        <is>
          <t>Dinner</t>
        </is>
      </c>
      <c r="D14" s="29" t="inlineStr">
        <is>
          <t>Asian</t>
        </is>
      </c>
      <c r="E14" s="17" t="inlineStr">
        <is>
          <t>Med</t>
        </is>
      </c>
      <c r="F14" s="18" t="n"/>
      <c r="G14" s="27">
        <f>IF(AND(ISNUMBER(SEARCH("Breakfast",$C14)),$D14="Asian"),RAND(),"")</f>
        <v/>
      </c>
      <c r="H14" s="27">
        <f>IF(AND(ISNUMBER(SEARCH("Breakfast",$C14)),$D14="Chinese"),RAND(),"")</f>
        <v/>
      </c>
      <c r="I14" s="27">
        <f>IF(AND(ISNUMBER(SEARCH("Breakfast",$C14)),$D14="Western"),RAND(),"")</f>
        <v/>
      </c>
      <c r="J14" s="27">
        <f>IF(AND(ISNUMBER(SEARCH("Lunch",$C14)),$D14="Asian"),RAND(),"")</f>
        <v/>
      </c>
      <c r="K14" s="27">
        <f>IF(AND(ISNUMBER(SEARCH("Lunch",$C14)),$D14="Chinese"),RAND(),"")</f>
        <v/>
      </c>
      <c r="L14" s="27">
        <f>IF(AND(ISNUMBER(SEARCH("Lunch",$C14)),$D14="Western"),RAND(),"")</f>
        <v/>
      </c>
      <c r="M14" s="27">
        <f>IF(AND(ISNUMBER(SEARCH("Dinner",$C14)),$D14="Asian"),RAND(),"")</f>
        <v/>
      </c>
      <c r="N14" s="27">
        <f>IF(AND(ISNUMBER(SEARCH("Dinner",$C14)),$D14="Chinese"),RAND(),"")</f>
        <v/>
      </c>
      <c r="O14" s="27">
        <f>IF(AND(ISNUMBER(SEARCH("Dinner",$C14)),$D14="Western"),RAND(),"")</f>
        <v/>
      </c>
    </row>
    <row r="15">
      <c r="A15" s="22" t="inlineStr">
        <is>
          <t>Ayam Soto</t>
        </is>
      </c>
      <c r="B15" s="22" t="inlineStr">
        <is>
          <t>—</t>
        </is>
      </c>
      <c r="C15" s="21" t="inlineStr">
        <is>
          <t>Lunch</t>
        </is>
      </c>
      <c r="D15" s="29" t="inlineStr">
        <is>
          <t>Asian</t>
        </is>
      </c>
      <c r="E15" s="21" t="inlineStr">
        <is>
          <t>High</t>
        </is>
      </c>
      <c r="F15" s="22" t="n"/>
      <c r="G15" s="28">
        <f>IF(AND(ISNUMBER(SEARCH("Breakfast",$C15)),$D15="Asian"),RAND(),"")</f>
        <v/>
      </c>
      <c r="H15" s="28">
        <f>IF(AND(ISNUMBER(SEARCH("Breakfast",$C15)),$D15="Chinese"),RAND(),"")</f>
        <v/>
      </c>
      <c r="I15" s="28">
        <f>IF(AND(ISNUMBER(SEARCH("Breakfast",$C15)),$D15="Western"),RAND(),"")</f>
        <v/>
      </c>
      <c r="J15" s="28">
        <f>IF(AND(ISNUMBER(SEARCH("Lunch",$C15)),$D15="Asian"),RAND(),"")</f>
        <v/>
      </c>
      <c r="K15" s="28">
        <f>IF(AND(ISNUMBER(SEARCH("Lunch",$C15)),$D15="Chinese"),RAND(),"")</f>
        <v/>
      </c>
      <c r="L15" s="28">
        <f>IF(AND(ISNUMBER(SEARCH("Lunch",$C15)),$D15="Western"),RAND(),"")</f>
        <v/>
      </c>
      <c r="M15" s="28">
        <f>IF(AND(ISNUMBER(SEARCH("Dinner",$C15)),$D15="Asian"),RAND(),"")</f>
        <v/>
      </c>
      <c r="N15" s="28">
        <f>IF(AND(ISNUMBER(SEARCH("Dinner",$C15)),$D15="Chinese"),RAND(),"")</f>
        <v/>
      </c>
      <c r="O15" s="28">
        <f>IF(AND(ISNUMBER(SEARCH("Dinner",$C15)),$D15="Western"),RAND(),"")</f>
        <v/>
      </c>
    </row>
    <row r="16">
      <c r="A16" s="18" t="inlineStr">
        <is>
          <t>Baba Ganosh</t>
        </is>
      </c>
      <c r="B16" s="18" t="inlineStr">
        <is>
          <t>Eggplants, Garlic, Tahini, Lemon, Greek Yoghurt, Olive Oil, Sea Salt, Sesame Seed, Fried Shallots</t>
        </is>
      </c>
      <c r="C16" s="17" t="inlineStr">
        <is>
          <t>Lunch</t>
        </is>
      </c>
      <c r="D16" s="30" t="inlineStr">
        <is>
          <t>Western</t>
        </is>
      </c>
      <c r="E16" s="17" t="inlineStr">
        <is>
          <t>Med</t>
        </is>
      </c>
      <c r="F16" s="19" t="inlineStr">
        <is>
          <t>https://www.instagram.com/reel/DJbY5amhoD_/?igsh=dWxmMWpseHFpZHg2</t>
        </is>
      </c>
      <c r="G16" s="27">
        <f>IF(AND(ISNUMBER(SEARCH("Breakfast",$C16)),$D16="Asian"),RAND(),"")</f>
        <v/>
      </c>
      <c r="H16" s="27">
        <f>IF(AND(ISNUMBER(SEARCH("Breakfast",$C16)),$D16="Chinese"),RAND(),"")</f>
        <v/>
      </c>
      <c r="I16" s="27">
        <f>IF(AND(ISNUMBER(SEARCH("Breakfast",$C16)),$D16="Western"),RAND(),"")</f>
        <v/>
      </c>
      <c r="J16" s="27">
        <f>IF(AND(ISNUMBER(SEARCH("Lunch",$C16)),$D16="Asian"),RAND(),"")</f>
        <v/>
      </c>
      <c r="K16" s="27">
        <f>IF(AND(ISNUMBER(SEARCH("Lunch",$C16)),$D16="Chinese"),RAND(),"")</f>
        <v/>
      </c>
      <c r="L16" s="27">
        <f>IF(AND(ISNUMBER(SEARCH("Lunch",$C16)),$D16="Western"),RAND(),"")</f>
        <v/>
      </c>
      <c r="M16" s="27">
        <f>IF(AND(ISNUMBER(SEARCH("Dinner",$C16)),$D16="Asian"),RAND(),"")</f>
        <v/>
      </c>
      <c r="N16" s="27">
        <f>IF(AND(ISNUMBER(SEARCH("Dinner",$C16)),$D16="Chinese"),RAND(),"")</f>
        <v/>
      </c>
      <c r="O16" s="27">
        <f>IF(AND(ISNUMBER(SEARCH("Dinner",$C16)),$D16="Western"),RAND(),"")</f>
        <v/>
      </c>
    </row>
    <row r="17">
      <c r="A17" s="22" t="inlineStr">
        <is>
          <t>Bachormee Soup</t>
        </is>
      </c>
      <c r="B17" s="22" t="inlineStr">
        <is>
          <t>Egg Noodles, Meatballs, Minced Pork</t>
        </is>
      </c>
      <c r="C17" s="21" t="inlineStr">
        <is>
          <t>Lunch</t>
        </is>
      </c>
      <c r="D17" s="30" t="inlineStr">
        <is>
          <t>Western</t>
        </is>
      </c>
      <c r="E17" s="21" t="inlineStr">
        <is>
          <t>Med</t>
        </is>
      </c>
      <c r="F17" s="22" t="n"/>
      <c r="G17" s="28">
        <f>IF(AND(ISNUMBER(SEARCH("Breakfast",$C17)),$D17="Asian"),RAND(),"")</f>
        <v/>
      </c>
      <c r="H17" s="28">
        <f>IF(AND(ISNUMBER(SEARCH("Breakfast",$C17)),$D17="Chinese"),RAND(),"")</f>
        <v/>
      </c>
      <c r="I17" s="28">
        <f>IF(AND(ISNUMBER(SEARCH("Breakfast",$C17)),$D17="Western"),RAND(),"")</f>
        <v/>
      </c>
      <c r="J17" s="28">
        <f>IF(AND(ISNUMBER(SEARCH("Lunch",$C17)),$D17="Asian"),RAND(),"")</f>
        <v/>
      </c>
      <c r="K17" s="28">
        <f>IF(AND(ISNUMBER(SEARCH("Lunch",$C17)),$D17="Chinese"),RAND(),"")</f>
        <v/>
      </c>
      <c r="L17" s="28">
        <f>IF(AND(ISNUMBER(SEARCH("Lunch",$C17)),$D17="Western"),RAND(),"")</f>
        <v/>
      </c>
      <c r="M17" s="28">
        <f>IF(AND(ISNUMBER(SEARCH("Dinner",$C17)),$D17="Asian"),RAND(),"")</f>
        <v/>
      </c>
      <c r="N17" s="28">
        <f>IF(AND(ISNUMBER(SEARCH("Dinner",$C17)),$D17="Chinese"),RAND(),"")</f>
        <v/>
      </c>
      <c r="O17" s="28">
        <f>IF(AND(ISNUMBER(SEARCH("Dinner",$C17)),$D17="Western"),RAND(),"")</f>
        <v/>
      </c>
      <c r="P17" s="0" t="b">
        <v>1</v>
      </c>
    </row>
    <row r="18">
      <c r="A18" s="18" t="inlineStr">
        <is>
          <t>Back pain soup</t>
        </is>
      </c>
      <c r="B18" s="18" t="inlineStr">
        <is>
          <t>Pork Bone, 西施骨</t>
        </is>
      </c>
      <c r="C18" s="17" t="inlineStr">
        <is>
          <t>Dinner</t>
        </is>
      </c>
      <c r="D18" s="26" t="inlineStr">
        <is>
          <t>Chinese</t>
        </is>
      </c>
      <c r="E18" s="17" t="inlineStr">
        <is>
          <t>Med</t>
        </is>
      </c>
      <c r="F18" s="18" t="n"/>
      <c r="G18" s="27">
        <f>IF(AND(ISNUMBER(SEARCH("Breakfast",$C18)),$D18="Asian"),RAND(),"")</f>
        <v/>
      </c>
      <c r="H18" s="27">
        <f>IF(AND(ISNUMBER(SEARCH("Breakfast",$C18)),$D18="Chinese"),RAND(),"")</f>
        <v/>
      </c>
      <c r="I18" s="27">
        <f>IF(AND(ISNUMBER(SEARCH("Breakfast",$C18)),$D18="Western"),RAND(),"")</f>
        <v/>
      </c>
      <c r="J18" s="27">
        <f>IF(AND(ISNUMBER(SEARCH("Lunch",$C18)),$D18="Asian"),RAND(),"")</f>
        <v/>
      </c>
      <c r="K18" s="27">
        <f>IF(AND(ISNUMBER(SEARCH("Lunch",$C18)),$D18="Chinese"),RAND(),"")</f>
        <v/>
      </c>
      <c r="L18" s="27">
        <f>IF(AND(ISNUMBER(SEARCH("Lunch",$C18)),$D18="Western"),RAND(),"")</f>
        <v/>
      </c>
      <c r="M18" s="27">
        <f>IF(AND(ISNUMBER(SEARCH("Dinner",$C18)),$D18="Asian"),RAND(),"")</f>
        <v/>
      </c>
      <c r="N18" s="27">
        <f>IF(AND(ISNUMBER(SEARCH("Dinner",$C18)),$D18="Chinese"),RAND(),"")</f>
        <v/>
      </c>
      <c r="O18" s="27">
        <f>IF(AND(ISNUMBER(SEARCH("Dinner",$C18)),$D18="Western"),RAND(),"")</f>
        <v/>
      </c>
      <c r="P18" s="0" t="b">
        <v>1</v>
      </c>
    </row>
    <row r="19">
      <c r="A19" s="22" t="inlineStr">
        <is>
          <t>Bacon</t>
        </is>
      </c>
      <c r="B19" s="22" t="inlineStr">
        <is>
          <t>Cabbage, Garlic</t>
        </is>
      </c>
      <c r="C19" s="21" t="inlineStr">
        <is>
          <t>Dinner</t>
        </is>
      </c>
      <c r="D19" s="30" t="inlineStr">
        <is>
          <t>Western</t>
        </is>
      </c>
      <c r="E19" s="21" t="inlineStr">
        <is>
          <t>Med</t>
        </is>
      </c>
      <c r="F19" s="23" t="inlineStr">
        <is>
          <t>https://icook.tw/recipes/166978?utm_source=copy&amp;utm_medium=sharev3&amp;utm_campaign=recipe-share</t>
        </is>
      </c>
      <c r="G19" s="28">
        <f>IF(AND(ISNUMBER(SEARCH("Breakfast",$C19)),$D19="Asian"),RAND(),"")</f>
        <v/>
      </c>
      <c r="H19" s="28">
        <f>IF(AND(ISNUMBER(SEARCH("Breakfast",$C19)),$D19="Chinese"),RAND(),"")</f>
        <v/>
      </c>
      <c r="I19" s="28">
        <f>IF(AND(ISNUMBER(SEARCH("Breakfast",$C19)),$D19="Western"),RAND(),"")</f>
        <v/>
      </c>
      <c r="J19" s="28">
        <f>IF(AND(ISNUMBER(SEARCH("Lunch",$C19)),$D19="Asian"),RAND(),"")</f>
        <v/>
      </c>
      <c r="K19" s="28">
        <f>IF(AND(ISNUMBER(SEARCH("Lunch",$C19)),$D19="Chinese"),RAND(),"")</f>
        <v/>
      </c>
      <c r="L19" s="28">
        <f>IF(AND(ISNUMBER(SEARCH("Lunch",$C19)),$D19="Western"),RAND(),"")</f>
        <v/>
      </c>
      <c r="M19" s="28">
        <f>IF(AND(ISNUMBER(SEARCH("Dinner",$C19)),$D19="Asian"),RAND(),"")</f>
        <v/>
      </c>
      <c r="N19" s="28">
        <f>IF(AND(ISNUMBER(SEARCH("Dinner",$C19)),$D19="Chinese"),RAND(),"")</f>
        <v/>
      </c>
      <c r="O19" s="28">
        <f>IF(AND(ISNUMBER(SEARCH("Dinner",$C19)),$D19="Western"),RAND(),"")</f>
        <v/>
      </c>
    </row>
    <row r="20">
      <c r="A20" s="18" t="inlineStr">
        <is>
          <t>Baicai</t>
        </is>
      </c>
      <c r="B20" s="18" t="inlineStr">
        <is>
          <t>Carrot, Enoki mushroom, Chilli</t>
        </is>
      </c>
      <c r="C20" s="17" t="inlineStr">
        <is>
          <t>Dinner</t>
        </is>
      </c>
      <c r="D20" s="29" t="inlineStr">
        <is>
          <t>Asian</t>
        </is>
      </c>
      <c r="E20" s="17" t="inlineStr">
        <is>
          <t>Low</t>
        </is>
      </c>
      <c r="F20" s="19" t="inlineStr">
        <is>
          <t>https://fb.watch/a9FI12brJ1/</t>
        </is>
      </c>
      <c r="G20" s="27">
        <f>IF(AND(ISNUMBER(SEARCH("Breakfast",$C20)),$D20="Asian"),RAND(),"")</f>
        <v/>
      </c>
      <c r="H20" s="27">
        <f>IF(AND(ISNUMBER(SEARCH("Breakfast",$C20)),$D20="Chinese"),RAND(),"")</f>
        <v/>
      </c>
      <c r="I20" s="27">
        <f>IF(AND(ISNUMBER(SEARCH("Breakfast",$C20)),$D20="Western"),RAND(),"")</f>
        <v/>
      </c>
      <c r="J20" s="27">
        <f>IF(AND(ISNUMBER(SEARCH("Lunch",$C20)),$D20="Asian"),RAND(),"")</f>
        <v/>
      </c>
      <c r="K20" s="27">
        <f>IF(AND(ISNUMBER(SEARCH("Lunch",$C20)),$D20="Chinese"),RAND(),"")</f>
        <v/>
      </c>
      <c r="L20" s="27">
        <f>IF(AND(ISNUMBER(SEARCH("Lunch",$C20)),$D20="Western"),RAND(),"")</f>
        <v/>
      </c>
      <c r="M20" s="27">
        <f>IF(AND(ISNUMBER(SEARCH("Dinner",$C20)),$D20="Asian"),RAND(),"")</f>
        <v/>
      </c>
      <c r="N20" s="27">
        <f>IF(AND(ISNUMBER(SEARCH("Dinner",$C20)),$D20="Chinese"),RAND(),"")</f>
        <v/>
      </c>
      <c r="O20" s="27">
        <f>IF(AND(ISNUMBER(SEARCH("Dinner",$C20)),$D20="Western"),RAND(),"")</f>
        <v/>
      </c>
    </row>
    <row r="21" ht="15.75" customHeight="1" s="36">
      <c r="A21" s="22" t="inlineStr">
        <is>
          <t>Baimifen</t>
        </is>
      </c>
      <c r="B21" s="22" t="inlineStr">
        <is>
          <t>Prawns, Squid, Beehoon, Egg, Vege, Baimifen paste</t>
        </is>
      </c>
      <c r="C21" s="21" t="inlineStr">
        <is>
          <t>Lunch</t>
        </is>
      </c>
      <c r="D21" s="26" t="inlineStr">
        <is>
          <t>Chinese</t>
        </is>
      </c>
      <c r="E21" s="21" t="inlineStr">
        <is>
          <t>Med</t>
        </is>
      </c>
      <c r="F21" s="22" t="n"/>
      <c r="G21" s="28">
        <f>IF(AND(ISNUMBER(SEARCH("Breakfast",$C21)),$D21="Asian"),RAND(),"")</f>
        <v/>
      </c>
      <c r="H21" s="28">
        <f>IF(AND(ISNUMBER(SEARCH("Breakfast",$C21)),$D21="Chinese"),RAND(),"")</f>
        <v/>
      </c>
      <c r="I21" s="28">
        <f>IF(AND(ISNUMBER(SEARCH("Breakfast",$C21)),$D21="Western"),RAND(),"")</f>
        <v/>
      </c>
      <c r="J21" s="28">
        <f>IF(AND(ISNUMBER(SEARCH("Lunch",$C21)),$D21="Asian"),RAND(),"")</f>
        <v/>
      </c>
      <c r="K21" s="28">
        <f>IF(AND(ISNUMBER(SEARCH("Lunch",$C21)),$D21="Chinese"),RAND(),"")</f>
        <v/>
      </c>
      <c r="L21" s="28">
        <f>IF(AND(ISNUMBER(SEARCH("Lunch",$C21)),$D21="Western"),RAND(),"")</f>
        <v/>
      </c>
      <c r="M21" s="28">
        <f>IF(AND(ISNUMBER(SEARCH("Dinner",$C21)),$D21="Asian"),RAND(),"")</f>
        <v/>
      </c>
      <c r="N21" s="28">
        <f>IF(AND(ISNUMBER(SEARCH("Dinner",$C21)),$D21="Chinese"),RAND(),"")</f>
        <v/>
      </c>
      <c r="O21" s="28">
        <f>IF(AND(ISNUMBER(SEARCH("Dinner",$C21)),$D21="Western"),RAND(),"")</f>
        <v/>
      </c>
    </row>
    <row r="22" ht="15.75" customHeight="1" s="36">
      <c r="A22" s="18" t="inlineStr">
        <is>
          <t>Bak Kut Teh</t>
        </is>
      </c>
      <c r="B22" s="31" t="inlineStr">
        <is>
          <t>排骨, BKT Herbs</t>
        </is>
      </c>
      <c r="C22" s="17" t="inlineStr">
        <is>
          <t>Dinner</t>
        </is>
      </c>
      <c r="D22" s="26" t="inlineStr">
        <is>
          <t>Chinese</t>
        </is>
      </c>
      <c r="E22" s="17" t="inlineStr">
        <is>
          <t>High</t>
        </is>
      </c>
      <c r="F22" s="18" t="n"/>
      <c r="G22" s="27">
        <f>IF(AND(ISNUMBER(SEARCH("Breakfast",$C22)),$D22="Asian"),RAND(),"")</f>
        <v/>
      </c>
      <c r="H22" s="27">
        <f>IF(AND(ISNUMBER(SEARCH("Breakfast",$C22)),$D22="Chinese"),RAND(),"")</f>
        <v/>
      </c>
      <c r="I22" s="27">
        <f>IF(AND(ISNUMBER(SEARCH("Breakfast",$C22)),$D22="Western"),RAND(),"")</f>
        <v/>
      </c>
      <c r="J22" s="27">
        <f>IF(AND(ISNUMBER(SEARCH("Lunch",$C22)),$D22="Asian"),RAND(),"")</f>
        <v/>
      </c>
      <c r="K22" s="27">
        <f>IF(AND(ISNUMBER(SEARCH("Lunch",$C22)),$D22="Chinese"),RAND(),"")</f>
        <v/>
      </c>
      <c r="L22" s="27">
        <f>IF(AND(ISNUMBER(SEARCH("Lunch",$C22)),$D22="Western"),RAND(),"")</f>
        <v/>
      </c>
      <c r="M22" s="27">
        <f>IF(AND(ISNUMBER(SEARCH("Dinner",$C22)),$D22="Asian"),RAND(),"")</f>
        <v/>
      </c>
      <c r="N22" s="27">
        <f>IF(AND(ISNUMBER(SEARCH("Dinner",$C22)),$D22="Chinese"),RAND(),"")</f>
        <v/>
      </c>
      <c r="O22" s="27">
        <f>IF(AND(ISNUMBER(SEARCH("Dinner",$C22)),$D22="Western"),RAND(),"")</f>
        <v/>
      </c>
    </row>
    <row r="23" ht="15.75" customHeight="1" s="36">
      <c r="A23" s="22" t="inlineStr">
        <is>
          <t>Baked Carrot Fries</t>
        </is>
      </c>
      <c r="B23" s="22" t="inlineStr">
        <is>
          <t>Carrot, Parmesan, Oregano, Garlic Powder, Paprika, Mayonaise, Chilli Sauce, Parsley</t>
        </is>
      </c>
      <c r="C23" s="21" t="inlineStr">
        <is>
          <t>Dinner</t>
        </is>
      </c>
      <c r="D23" s="30" t="inlineStr">
        <is>
          <t>Western</t>
        </is>
      </c>
      <c r="E23" s="21" t="inlineStr">
        <is>
          <t>High</t>
        </is>
      </c>
      <c r="F23" s="23" t="inlineStr">
        <is>
          <t>https://youtu.be/ZD_5nZr9yhM</t>
        </is>
      </c>
      <c r="G23" s="28">
        <f>IF(AND(ISNUMBER(SEARCH("Breakfast",$C23)),$D23="Asian"),RAND(),"")</f>
        <v/>
      </c>
      <c r="H23" s="28">
        <f>IF(AND(ISNUMBER(SEARCH("Breakfast",$C23)),$D23="Chinese"),RAND(),"")</f>
        <v/>
      </c>
      <c r="I23" s="28">
        <f>IF(AND(ISNUMBER(SEARCH("Breakfast",$C23)),$D23="Western"),RAND(),"")</f>
        <v/>
      </c>
      <c r="J23" s="28">
        <f>IF(AND(ISNUMBER(SEARCH("Lunch",$C23)),$D23="Asian"),RAND(),"")</f>
        <v/>
      </c>
      <c r="K23" s="28">
        <f>IF(AND(ISNUMBER(SEARCH("Lunch",$C23)),$D23="Chinese"),RAND(),"")</f>
        <v/>
      </c>
      <c r="L23" s="28">
        <f>IF(AND(ISNUMBER(SEARCH("Lunch",$C23)),$D23="Western"),RAND(),"")</f>
        <v/>
      </c>
      <c r="M23" s="28">
        <f>IF(AND(ISNUMBER(SEARCH("Dinner",$C23)),$D23="Asian"),RAND(),"")</f>
        <v/>
      </c>
      <c r="N23" s="28">
        <f>IF(AND(ISNUMBER(SEARCH("Dinner",$C23)),$D23="Chinese"),RAND(),"")</f>
        <v/>
      </c>
      <c r="O23" s="28">
        <f>IF(AND(ISNUMBER(SEARCH("Dinner",$C23)),$D23="Western"),RAND(),"")</f>
        <v/>
      </c>
    </row>
    <row r="24" ht="15.75" customHeight="1" s="36">
      <c r="A24" s="18" t="inlineStr">
        <is>
          <t>Baked chicken Italian</t>
        </is>
      </c>
      <c r="B24" s="18" t="inlineStr">
        <is>
          <t>Chicken breast, Oregano, Thyme, Paprika, Garlic, Lemon, Red onion, tomato, Parsley, Basil</t>
        </is>
      </c>
      <c r="C24" s="17" t="inlineStr">
        <is>
          <t>Dinner</t>
        </is>
      </c>
      <c r="D24" s="30" t="inlineStr">
        <is>
          <t>Western</t>
        </is>
      </c>
      <c r="E24" s="17" t="inlineStr">
        <is>
          <t>Low</t>
        </is>
      </c>
      <c r="F24" s="19" t="inlineStr">
        <is>
          <t>https://youtu.be/jYkqDKxsdxE</t>
        </is>
      </c>
      <c r="G24" s="27">
        <f>IF(AND(ISNUMBER(SEARCH("Breakfast",$C24)),$D24="Asian"),RAND(),"")</f>
        <v/>
      </c>
      <c r="H24" s="27">
        <f>IF(AND(ISNUMBER(SEARCH("Breakfast",$C24)),$D24="Chinese"),RAND(),"")</f>
        <v/>
      </c>
      <c r="I24" s="27">
        <f>IF(AND(ISNUMBER(SEARCH("Breakfast",$C24)),$D24="Western"),RAND(),"")</f>
        <v/>
      </c>
      <c r="J24" s="27">
        <f>IF(AND(ISNUMBER(SEARCH("Lunch",$C24)),$D24="Asian"),RAND(),"")</f>
        <v/>
      </c>
      <c r="K24" s="27">
        <f>IF(AND(ISNUMBER(SEARCH("Lunch",$C24)),$D24="Chinese"),RAND(),"")</f>
        <v/>
      </c>
      <c r="L24" s="27">
        <f>IF(AND(ISNUMBER(SEARCH("Lunch",$C24)),$D24="Western"),RAND(),"")</f>
        <v/>
      </c>
      <c r="M24" s="27">
        <f>IF(AND(ISNUMBER(SEARCH("Dinner",$C24)),$D24="Asian"),RAND(),"")</f>
        <v/>
      </c>
      <c r="N24" s="27">
        <f>IF(AND(ISNUMBER(SEARCH("Dinner",$C24)),$D24="Chinese"),RAND(),"")</f>
        <v/>
      </c>
      <c r="O24" s="27">
        <f>IF(AND(ISNUMBER(SEARCH("Dinner",$C24)),$D24="Western"),RAND(),"")</f>
        <v/>
      </c>
    </row>
    <row r="25" ht="15.75" customHeight="1" s="36">
      <c r="A25" s="22" t="inlineStr">
        <is>
          <t>Baked Halibut</t>
        </is>
      </c>
      <c r="B25" s="22" t="inlineStr">
        <is>
          <t>Mayonaise, Shallot, Lemon Juice, Cilantro, Chives, Dijon Mustard, Halibut</t>
        </is>
      </c>
      <c r="C25" s="21" t="inlineStr">
        <is>
          <t>Dinner</t>
        </is>
      </c>
      <c r="D25" s="30" t="inlineStr">
        <is>
          <t>Western</t>
        </is>
      </c>
      <c r="E25" s="21" t="inlineStr">
        <is>
          <t>Med</t>
        </is>
      </c>
      <c r="F25" s="22" t="n"/>
      <c r="G25" s="28">
        <f>IF(AND(ISNUMBER(SEARCH("Breakfast",$C25)),$D25="Asian"),RAND(),"")</f>
        <v/>
      </c>
      <c r="H25" s="28">
        <f>IF(AND(ISNUMBER(SEARCH("Breakfast",$C25)),$D25="Chinese"),RAND(),"")</f>
        <v/>
      </c>
      <c r="I25" s="28">
        <f>IF(AND(ISNUMBER(SEARCH("Breakfast",$C25)),$D25="Western"),RAND(),"")</f>
        <v/>
      </c>
      <c r="J25" s="28">
        <f>IF(AND(ISNUMBER(SEARCH("Lunch",$C25)),$D25="Asian"),RAND(),"")</f>
        <v/>
      </c>
      <c r="K25" s="28">
        <f>IF(AND(ISNUMBER(SEARCH("Lunch",$C25)),$D25="Chinese"),RAND(),"")</f>
        <v/>
      </c>
      <c r="L25" s="28">
        <f>IF(AND(ISNUMBER(SEARCH("Lunch",$C25)),$D25="Western"),RAND(),"")</f>
        <v/>
      </c>
      <c r="M25" s="28">
        <f>IF(AND(ISNUMBER(SEARCH("Dinner",$C25)),$D25="Asian"),RAND(),"")</f>
        <v/>
      </c>
      <c r="N25" s="28">
        <f>IF(AND(ISNUMBER(SEARCH("Dinner",$C25)),$D25="Chinese"),RAND(),"")</f>
        <v/>
      </c>
      <c r="O25" s="28">
        <f>IF(AND(ISNUMBER(SEARCH("Dinner",$C25)),$D25="Western"),RAND(),"")</f>
        <v/>
      </c>
    </row>
    <row r="26" ht="15.75" customHeight="1" s="36">
      <c r="A26" s="18" t="inlineStr">
        <is>
          <t>Baked macaroni</t>
        </is>
      </c>
      <c r="B26" s="18" t="inlineStr">
        <is>
          <t>Eggs, Nutmeg powder, Black pepper, Ground pork with onions, Macaroni, Cheddar cheese, Milk, Cream cheese</t>
        </is>
      </c>
      <c r="C26" s="17" t="inlineStr">
        <is>
          <t>Dinner</t>
        </is>
      </c>
      <c r="D26" s="30" t="inlineStr">
        <is>
          <t>Western</t>
        </is>
      </c>
      <c r="E26" s="17" t="inlineStr">
        <is>
          <t>Med</t>
        </is>
      </c>
      <c r="F26" s="19" t="inlineStr">
        <is>
          <t>https://www.instagram.com/reel/DCk9dYUAOQl/?igsh=d3UwcXdqZnl3bnR0</t>
        </is>
      </c>
      <c r="G26" s="27">
        <f>IF(AND(ISNUMBER(SEARCH("Breakfast",$C26)),$D26="Asian"),RAND(),"")</f>
        <v/>
      </c>
      <c r="H26" s="27">
        <f>IF(AND(ISNUMBER(SEARCH("Breakfast",$C26)),$D26="Chinese"),RAND(),"")</f>
        <v/>
      </c>
      <c r="I26" s="27">
        <f>IF(AND(ISNUMBER(SEARCH("Breakfast",$C26)),$D26="Western"),RAND(),"")</f>
        <v/>
      </c>
      <c r="J26" s="27">
        <f>IF(AND(ISNUMBER(SEARCH("Lunch",$C26)),$D26="Asian"),RAND(),"")</f>
        <v/>
      </c>
      <c r="K26" s="27">
        <f>IF(AND(ISNUMBER(SEARCH("Lunch",$C26)),$D26="Chinese"),RAND(),"")</f>
        <v/>
      </c>
      <c r="L26" s="27">
        <f>IF(AND(ISNUMBER(SEARCH("Lunch",$C26)),$D26="Western"),RAND(),"")</f>
        <v/>
      </c>
      <c r="M26" s="27">
        <f>IF(AND(ISNUMBER(SEARCH("Dinner",$C26)),$D26="Asian"),RAND(),"")</f>
        <v/>
      </c>
      <c r="N26" s="27">
        <f>IF(AND(ISNUMBER(SEARCH("Dinner",$C26)),$D26="Chinese"),RAND(),"")</f>
        <v/>
      </c>
      <c r="O26" s="27">
        <f>IF(AND(ISNUMBER(SEARCH("Dinner",$C26)),$D26="Western"),RAND(),"")</f>
        <v/>
      </c>
    </row>
    <row r="27" ht="15.75" customHeight="1" s="36">
      <c r="A27" s="22" t="inlineStr">
        <is>
          <t>Baked potato with beans</t>
        </is>
      </c>
      <c r="B27" s="22" t="inlineStr">
        <is>
          <t>Potato, Baked beans, Canned sweet corn, Garlic, Cumin, Sour cream, Green onion, Cheese</t>
        </is>
      </c>
      <c r="C27" s="21" t="inlineStr">
        <is>
          <t>Dinner</t>
        </is>
      </c>
      <c r="D27" s="30" t="inlineStr">
        <is>
          <t>Western</t>
        </is>
      </c>
      <c r="E27" s="21" t="inlineStr">
        <is>
          <t>Med</t>
        </is>
      </c>
      <c r="F27" s="23" t="inlineStr">
        <is>
          <t>https://www.kitchenstories.com/en/recipes/baked-potatoes-with-corn-and-beans</t>
        </is>
      </c>
      <c r="G27" s="28">
        <f>IF(AND(ISNUMBER(SEARCH("Breakfast",$C27)),$D27="Asian"),RAND(),"")</f>
        <v/>
      </c>
      <c r="H27" s="28">
        <f>IF(AND(ISNUMBER(SEARCH("Breakfast",$C27)),$D27="Chinese"),RAND(),"")</f>
        <v/>
      </c>
      <c r="I27" s="28">
        <f>IF(AND(ISNUMBER(SEARCH("Breakfast",$C27)),$D27="Western"),RAND(),"")</f>
        <v/>
      </c>
      <c r="J27" s="28">
        <f>IF(AND(ISNUMBER(SEARCH("Lunch",$C27)),$D27="Asian"),RAND(),"")</f>
        <v/>
      </c>
      <c r="K27" s="28">
        <f>IF(AND(ISNUMBER(SEARCH("Lunch",$C27)),$D27="Chinese"),RAND(),"")</f>
        <v/>
      </c>
      <c r="L27" s="28">
        <f>IF(AND(ISNUMBER(SEARCH("Lunch",$C27)),$D27="Western"),RAND(),"")</f>
        <v/>
      </c>
      <c r="M27" s="28">
        <f>IF(AND(ISNUMBER(SEARCH("Dinner",$C27)),$D27="Asian"),RAND(),"")</f>
        <v/>
      </c>
      <c r="N27" s="28">
        <f>IF(AND(ISNUMBER(SEARCH("Dinner",$C27)),$D27="Chinese"),RAND(),"")</f>
        <v/>
      </c>
      <c r="O27" s="28">
        <f>IF(AND(ISNUMBER(SEARCH("Dinner",$C27)),$D27="Western"),RAND(),"")</f>
        <v/>
      </c>
    </row>
    <row r="28" ht="15.75" customHeight="1" s="36">
      <c r="A28" s="18" t="inlineStr">
        <is>
          <t>Baked Salmon</t>
        </is>
      </c>
      <c r="B28" s="18" t="inlineStr">
        <is>
          <t>Salmon, Nectarines, Lemon, Granny smith apples, cucumber, can sweet corn, rosemary</t>
        </is>
      </c>
      <c r="C28" s="17" t="inlineStr">
        <is>
          <t>Dinner</t>
        </is>
      </c>
      <c r="D28" s="30" t="inlineStr">
        <is>
          <t>Western</t>
        </is>
      </c>
      <c r="E28" s="17" t="inlineStr">
        <is>
          <t>Low</t>
        </is>
      </c>
      <c r="F28" s="19" t="inlineStr">
        <is>
          <t>https://www.kitchenstories.com/en/recipes/baked-salmon-with-nectarine-salsa</t>
        </is>
      </c>
      <c r="G28" s="27">
        <f>IF(AND(ISNUMBER(SEARCH("Breakfast",$C28)),$D28="Asian"),RAND(),"")</f>
        <v/>
      </c>
      <c r="H28" s="27">
        <f>IF(AND(ISNUMBER(SEARCH("Breakfast",$C28)),$D28="Chinese"),RAND(),"")</f>
        <v/>
      </c>
      <c r="I28" s="27">
        <f>IF(AND(ISNUMBER(SEARCH("Breakfast",$C28)),$D28="Western"),RAND(),"")</f>
        <v/>
      </c>
      <c r="J28" s="27">
        <f>IF(AND(ISNUMBER(SEARCH("Lunch",$C28)),$D28="Asian"),RAND(),"")</f>
        <v/>
      </c>
      <c r="K28" s="27">
        <f>IF(AND(ISNUMBER(SEARCH("Lunch",$C28)),$D28="Chinese"),RAND(),"")</f>
        <v/>
      </c>
      <c r="L28" s="27">
        <f>IF(AND(ISNUMBER(SEARCH("Lunch",$C28)),$D28="Western"),RAND(),"")</f>
        <v/>
      </c>
      <c r="M28" s="27">
        <f>IF(AND(ISNUMBER(SEARCH("Dinner",$C28)),$D28="Asian"),RAND(),"")</f>
        <v/>
      </c>
      <c r="N28" s="27">
        <f>IF(AND(ISNUMBER(SEARCH("Dinner",$C28)),$D28="Chinese"),RAND(),"")</f>
        <v/>
      </c>
      <c r="O28" s="27">
        <f>IF(AND(ISNUMBER(SEARCH("Dinner",$C28)),$D28="Western"),RAND(),"")</f>
        <v/>
      </c>
    </row>
    <row r="29" ht="15.75" customHeight="1" s="36">
      <c r="A29" s="22" t="inlineStr">
        <is>
          <t>Banana cake</t>
        </is>
      </c>
      <c r="B29" s="22" t="inlineStr">
        <is>
          <t>All purpose flour, Baking soda, unsalted butter, sugar, vanilla, milk, banana, chocolate chunks</t>
        </is>
      </c>
      <c r="C29" s="21" t="inlineStr">
        <is>
          <t>Breakfast</t>
        </is>
      </c>
      <c r="D29" s="30" t="inlineStr">
        <is>
          <t>Western</t>
        </is>
      </c>
      <c r="E29" s="21" t="inlineStr">
        <is>
          <t>Med</t>
        </is>
      </c>
      <c r="F29" s="23" t="inlineStr">
        <is>
          <t>https://makeitdough.com/sourdough-discard-banana-snack-cake/</t>
        </is>
      </c>
      <c r="G29" s="28">
        <f>IF(AND(ISNUMBER(SEARCH("Breakfast",$C29)),$D29="Asian"),RAND(),"")</f>
        <v/>
      </c>
      <c r="H29" s="28">
        <f>IF(AND(ISNUMBER(SEARCH("Breakfast",$C29)),$D29="Chinese"),RAND(),"")</f>
        <v/>
      </c>
      <c r="I29" s="28">
        <f>IF(AND(ISNUMBER(SEARCH("Breakfast",$C29)),$D29="Western"),RAND(),"")</f>
        <v/>
      </c>
      <c r="J29" s="28">
        <f>IF(AND(ISNUMBER(SEARCH("Lunch",$C29)),$D29="Asian"),RAND(),"")</f>
        <v/>
      </c>
      <c r="K29" s="28">
        <f>IF(AND(ISNUMBER(SEARCH("Lunch",$C29)),$D29="Chinese"),RAND(),"")</f>
        <v/>
      </c>
      <c r="L29" s="28">
        <f>IF(AND(ISNUMBER(SEARCH("Lunch",$C29)),$D29="Western"),RAND(),"")</f>
        <v/>
      </c>
      <c r="M29" s="28">
        <f>IF(AND(ISNUMBER(SEARCH("Dinner",$C29)),$D29="Asian"),RAND(),"")</f>
        <v/>
      </c>
      <c r="N29" s="28">
        <f>IF(AND(ISNUMBER(SEARCH("Dinner",$C29)),$D29="Chinese"),RAND(),"")</f>
        <v/>
      </c>
      <c r="O29" s="28">
        <f>IF(AND(ISNUMBER(SEARCH("Dinner",$C29)),$D29="Western"),RAND(),"")</f>
        <v/>
      </c>
    </row>
    <row r="30" ht="15.75" customHeight="1" s="36">
      <c r="A30" s="18" t="inlineStr">
        <is>
          <t>Barley Risotto with shrimp in white wine sauce</t>
        </is>
      </c>
      <c r="B30" s="18" t="inlineStr">
        <is>
          <t>Barley, Shrimp, Lemon, Parsely, Garlic, White Wine, Cold Butter, Olive Oil</t>
        </is>
      </c>
      <c r="C30" s="17" t="inlineStr">
        <is>
          <t>Lunch</t>
        </is>
      </c>
      <c r="D30" s="30" t="inlineStr">
        <is>
          <t>Western</t>
        </is>
      </c>
      <c r="E30" s="17" t="inlineStr">
        <is>
          <t>Med</t>
        </is>
      </c>
      <c r="F30" s="19" t="inlineStr">
        <is>
          <t>https://www.kitchenstories.com/en/recipes/angel-hair-pasta-with-shrimp-in-white-wine-sauce</t>
        </is>
      </c>
      <c r="G30" s="27">
        <f>IF(AND(ISNUMBER(SEARCH("Breakfast",$C30)),$D30="Asian"),RAND(),"")</f>
        <v/>
      </c>
      <c r="H30" s="27">
        <f>IF(AND(ISNUMBER(SEARCH("Breakfast",$C30)),$D30="Chinese"),RAND(),"")</f>
        <v/>
      </c>
      <c r="I30" s="27">
        <f>IF(AND(ISNUMBER(SEARCH("Breakfast",$C30)),$D30="Western"),RAND(),"")</f>
        <v/>
      </c>
      <c r="J30" s="27">
        <f>IF(AND(ISNUMBER(SEARCH("Lunch",$C30)),$D30="Asian"),RAND(),"")</f>
        <v/>
      </c>
      <c r="K30" s="27">
        <f>IF(AND(ISNUMBER(SEARCH("Lunch",$C30)),$D30="Chinese"),RAND(),"")</f>
        <v/>
      </c>
      <c r="L30" s="27">
        <f>IF(AND(ISNUMBER(SEARCH("Lunch",$C30)),$D30="Western"),RAND(),"")</f>
        <v/>
      </c>
      <c r="M30" s="27">
        <f>IF(AND(ISNUMBER(SEARCH("Dinner",$C30)),$D30="Asian"),RAND(),"")</f>
        <v/>
      </c>
      <c r="N30" s="27">
        <f>IF(AND(ISNUMBER(SEARCH("Dinner",$C30)),$D30="Chinese"),RAND(),"")</f>
        <v/>
      </c>
      <c r="O30" s="27">
        <f>IF(AND(ISNUMBER(SEARCH("Dinner",$C30)),$D30="Western"),RAND(),"")</f>
        <v/>
      </c>
    </row>
    <row r="31" ht="15.75" customHeight="1" s="36">
      <c r="A31" s="22" t="inlineStr">
        <is>
          <t>Bean and Feta Salad</t>
        </is>
      </c>
      <c r="B31" s="22" t="inlineStr">
        <is>
          <t>Kidney beans, Feta cheese, Red leaf lettuce, Yellow Bell peppers, tomatoes, White wine vinegar, Balsamic vinegar, Mustard</t>
        </is>
      </c>
      <c r="C31" s="21" t="inlineStr">
        <is>
          <t>Dinner</t>
        </is>
      </c>
      <c r="D31" s="30" t="inlineStr">
        <is>
          <t>Western</t>
        </is>
      </c>
      <c r="E31" s="21" t="inlineStr">
        <is>
          <t>High</t>
        </is>
      </c>
      <c r="F31" s="23" t="inlineStr">
        <is>
          <t>https://www.kitchenstories.com/en/recipes/bean-and-feta-salad-in-a-jar</t>
        </is>
      </c>
      <c r="G31" s="28">
        <f>IF(AND(ISNUMBER(SEARCH("Breakfast",$C31)),$D31="Asian"),RAND(),"")</f>
        <v/>
      </c>
      <c r="H31" s="28">
        <f>IF(AND(ISNUMBER(SEARCH("Breakfast",$C31)),$D31="Chinese"),RAND(),"")</f>
        <v/>
      </c>
      <c r="I31" s="28">
        <f>IF(AND(ISNUMBER(SEARCH("Breakfast",$C31)),$D31="Western"),RAND(),"")</f>
        <v/>
      </c>
      <c r="J31" s="28">
        <f>IF(AND(ISNUMBER(SEARCH("Lunch",$C31)),$D31="Asian"),RAND(),"")</f>
        <v/>
      </c>
      <c r="K31" s="28">
        <f>IF(AND(ISNUMBER(SEARCH("Lunch",$C31)),$D31="Chinese"),RAND(),"")</f>
        <v/>
      </c>
      <c r="L31" s="28">
        <f>IF(AND(ISNUMBER(SEARCH("Lunch",$C31)),$D31="Western"),RAND(),"")</f>
        <v/>
      </c>
      <c r="M31" s="28">
        <f>IF(AND(ISNUMBER(SEARCH("Dinner",$C31)),$D31="Asian"),RAND(),"")</f>
        <v/>
      </c>
      <c r="N31" s="28">
        <f>IF(AND(ISNUMBER(SEARCH("Dinner",$C31)),$D31="Chinese"),RAND(),"")</f>
        <v/>
      </c>
      <c r="O31" s="28">
        <f>IF(AND(ISNUMBER(SEARCH("Dinner",$C31)),$D31="Western"),RAND(),"")</f>
        <v/>
      </c>
    </row>
    <row r="32" ht="15.75" customHeight="1" s="36">
      <c r="A32" s="18" t="inlineStr">
        <is>
          <t>Beef Bourguignon</t>
        </is>
      </c>
      <c r="B32" s="18" t="inlineStr">
        <is>
          <t>Bacon, Beef Brisket, Carrot, Onion, Garlic, Red Wine, Tomato Paste/Ketchup, Thyme, Parsley, Bay leave, White/Brown Mushroom, Butter</t>
        </is>
      </c>
      <c r="C32" s="17" t="inlineStr">
        <is>
          <t>Dinner</t>
        </is>
      </c>
      <c r="D32" s="30" t="inlineStr">
        <is>
          <t>Western</t>
        </is>
      </c>
      <c r="E32" s="17" t="inlineStr">
        <is>
          <t>High</t>
        </is>
      </c>
      <c r="F32" s="19" t="inlineStr">
        <is>
          <t>https://cafedelites.com/beef-bourguignon/</t>
        </is>
      </c>
      <c r="G32" s="27">
        <f>IF(AND(ISNUMBER(SEARCH("Breakfast",$C32)),$D32="Asian"),RAND(),"")</f>
        <v/>
      </c>
      <c r="H32" s="27">
        <f>IF(AND(ISNUMBER(SEARCH("Breakfast",$C32)),$D32="Chinese"),RAND(),"")</f>
        <v/>
      </c>
      <c r="I32" s="27">
        <f>IF(AND(ISNUMBER(SEARCH("Breakfast",$C32)),$D32="Western"),RAND(),"")</f>
        <v/>
      </c>
      <c r="J32" s="27">
        <f>IF(AND(ISNUMBER(SEARCH("Lunch",$C32)),$D32="Asian"),RAND(),"")</f>
        <v/>
      </c>
      <c r="K32" s="27">
        <f>IF(AND(ISNUMBER(SEARCH("Lunch",$C32)),$D32="Chinese"),RAND(),"")</f>
        <v/>
      </c>
      <c r="L32" s="27">
        <f>IF(AND(ISNUMBER(SEARCH("Lunch",$C32)),$D32="Western"),RAND(),"")</f>
        <v/>
      </c>
      <c r="M32" s="27">
        <f>IF(AND(ISNUMBER(SEARCH("Dinner",$C32)),$D32="Asian"),RAND(),"")</f>
        <v/>
      </c>
      <c r="N32" s="27">
        <f>IF(AND(ISNUMBER(SEARCH("Dinner",$C32)),$D32="Chinese"),RAND(),"")</f>
        <v/>
      </c>
      <c r="O32" s="27">
        <f>IF(AND(ISNUMBER(SEARCH("Dinner",$C32)),$D32="Western"),RAND(),"")</f>
        <v/>
      </c>
    </row>
    <row r="33" ht="15.75" customHeight="1" s="36">
      <c r="A33" s="22" t="inlineStr">
        <is>
          <t>Beef Bulgogi rice</t>
        </is>
      </c>
      <c r="B33" s="22" t="inlineStr">
        <is>
          <t>Minced Beef, Dark Soy Sauce, Light Soy Sauce, Garlic, Brown Sugar, Sesame Oil, Rice</t>
        </is>
      </c>
      <c r="C33" s="21" t="inlineStr">
        <is>
          <t>Dinner</t>
        </is>
      </c>
      <c r="D33" s="29" t="inlineStr">
        <is>
          <t>Asian</t>
        </is>
      </c>
      <c r="E33" s="21" t="inlineStr">
        <is>
          <t>Med</t>
        </is>
      </c>
      <c r="F33" s="23" t="inlineStr">
        <is>
          <t>https://www.instagram.com/reel/DOGzVpMjZvB/?igsh=N29xeXBhaG92cW4w</t>
        </is>
      </c>
      <c r="G33" s="28">
        <f>IF(AND(ISNUMBER(SEARCH("Breakfast",$C33)),$D33="Asian"),RAND(),"")</f>
        <v/>
      </c>
      <c r="H33" s="28">
        <f>IF(AND(ISNUMBER(SEARCH("Breakfast",$C33)),$D33="Chinese"),RAND(),"")</f>
        <v/>
      </c>
      <c r="I33" s="28">
        <f>IF(AND(ISNUMBER(SEARCH("Breakfast",$C33)),$D33="Western"),RAND(),"")</f>
        <v/>
      </c>
      <c r="J33" s="28">
        <f>IF(AND(ISNUMBER(SEARCH("Lunch",$C33)),$D33="Asian"),RAND(),"")</f>
        <v/>
      </c>
      <c r="K33" s="28">
        <f>IF(AND(ISNUMBER(SEARCH("Lunch",$C33)),$D33="Chinese"),RAND(),"")</f>
        <v/>
      </c>
      <c r="L33" s="28">
        <f>IF(AND(ISNUMBER(SEARCH("Lunch",$C33)),$D33="Western"),RAND(),"")</f>
        <v/>
      </c>
      <c r="M33" s="28">
        <f>IF(AND(ISNUMBER(SEARCH("Dinner",$C33)),$D33="Asian"),RAND(),"")</f>
        <v/>
      </c>
      <c r="N33" s="28">
        <f>IF(AND(ISNUMBER(SEARCH("Dinner",$C33)),$D33="Chinese"),RAND(),"")</f>
        <v/>
      </c>
      <c r="O33" s="28">
        <f>IF(AND(ISNUMBER(SEARCH("Dinner",$C33)),$D33="Western"),RAND(),"")</f>
        <v/>
      </c>
    </row>
    <row r="34" ht="15.75" customHeight="1" s="36">
      <c r="A34" s="18" t="inlineStr">
        <is>
          <t>Beef Meal</t>
        </is>
      </c>
      <c r="B34" s="31" t="inlineStr">
        <is>
          <t>牛肋条, Spring Onion, Sesame Oil, Salt, Black Pepper</t>
        </is>
      </c>
      <c r="C34" s="17" t="inlineStr">
        <is>
          <t>Dinner</t>
        </is>
      </c>
      <c r="D34" s="29" t="inlineStr">
        <is>
          <t>Asian</t>
        </is>
      </c>
      <c r="E34" s="17" t="inlineStr">
        <is>
          <t>Low</t>
        </is>
      </c>
      <c r="F34" s="19" t="inlineStr">
        <is>
          <t>https://www.instagram.com/tv/Cb_tMkzJgD1/?igshid=MDJmNzVkMjY=</t>
        </is>
      </c>
      <c r="G34" s="27">
        <f>IF(AND(ISNUMBER(SEARCH("Breakfast",$C34)),$D34="Asian"),RAND(),"")</f>
        <v/>
      </c>
      <c r="H34" s="27">
        <f>IF(AND(ISNUMBER(SEARCH("Breakfast",$C34)),$D34="Chinese"),RAND(),"")</f>
        <v/>
      </c>
      <c r="I34" s="27">
        <f>IF(AND(ISNUMBER(SEARCH("Breakfast",$C34)),$D34="Western"),RAND(),"")</f>
        <v/>
      </c>
      <c r="J34" s="27">
        <f>IF(AND(ISNUMBER(SEARCH("Lunch",$C34)),$D34="Asian"),RAND(),"")</f>
        <v/>
      </c>
      <c r="K34" s="27">
        <f>IF(AND(ISNUMBER(SEARCH("Lunch",$C34)),$D34="Chinese"),RAND(),"")</f>
        <v/>
      </c>
      <c r="L34" s="27">
        <f>IF(AND(ISNUMBER(SEARCH("Lunch",$C34)),$D34="Western"),RAND(),"")</f>
        <v/>
      </c>
      <c r="M34" s="27">
        <f>IF(AND(ISNUMBER(SEARCH("Dinner",$C34)),$D34="Asian"),RAND(),"")</f>
        <v/>
      </c>
      <c r="N34" s="27">
        <f>IF(AND(ISNUMBER(SEARCH("Dinner",$C34)),$D34="Chinese"),RAND(),"")</f>
        <v/>
      </c>
      <c r="O34" s="27">
        <f>IF(AND(ISNUMBER(SEARCH("Dinner",$C34)),$D34="Western"),RAND(),"")</f>
        <v/>
      </c>
    </row>
    <row r="35" ht="15.75" customHeight="1" s="36">
      <c r="A35" s="22" t="inlineStr">
        <is>
          <t>Beef Ragout</t>
        </is>
      </c>
      <c r="B35" s="22" t="inlineStr">
        <is>
          <t>Beef, Celery Roots, Carrots, Onion, Rosemary, Thyme, Butter, Cinnamon, Bay Leaves, Porcini Mushrooms, Chopped Tomato, Red Wine, Chicken Stock, Cream, Potato</t>
        </is>
      </c>
      <c r="C35" s="21" t="inlineStr">
        <is>
          <t>Dinner</t>
        </is>
      </c>
      <c r="D35" s="30" t="inlineStr">
        <is>
          <t>Western</t>
        </is>
      </c>
      <c r="E35" s="21" t="inlineStr">
        <is>
          <t>Low</t>
        </is>
      </c>
      <c r="F35" s="23" t="inlineStr">
        <is>
          <t>https://www.kitchenstories.com/en/recipes/beef-ragout-with-celery-root-puree</t>
        </is>
      </c>
      <c r="G35" s="28">
        <f>IF(AND(ISNUMBER(SEARCH("Breakfast",$C35)),$D35="Asian"),RAND(),"")</f>
        <v/>
      </c>
      <c r="H35" s="28">
        <f>IF(AND(ISNUMBER(SEARCH("Breakfast",$C35)),$D35="Chinese"),RAND(),"")</f>
        <v/>
      </c>
      <c r="I35" s="28">
        <f>IF(AND(ISNUMBER(SEARCH("Breakfast",$C35)),$D35="Western"),RAND(),"")</f>
        <v/>
      </c>
      <c r="J35" s="28">
        <f>IF(AND(ISNUMBER(SEARCH("Lunch",$C35)),$D35="Asian"),RAND(),"")</f>
        <v/>
      </c>
      <c r="K35" s="28">
        <f>IF(AND(ISNUMBER(SEARCH("Lunch",$C35)),$D35="Chinese"),RAND(),"")</f>
        <v/>
      </c>
      <c r="L35" s="28">
        <f>IF(AND(ISNUMBER(SEARCH("Lunch",$C35)),$D35="Western"),RAND(),"")</f>
        <v/>
      </c>
      <c r="M35" s="28">
        <f>IF(AND(ISNUMBER(SEARCH("Dinner",$C35)),$D35="Asian"),RAND(),"")</f>
        <v/>
      </c>
      <c r="N35" s="28">
        <f>IF(AND(ISNUMBER(SEARCH("Dinner",$C35)),$D35="Chinese"),RAND(),"")</f>
        <v/>
      </c>
      <c r="O35" s="28">
        <f>IF(AND(ISNUMBER(SEARCH("Dinner",$C35)),$D35="Western"),RAND(),"")</f>
        <v/>
      </c>
    </row>
    <row r="36" ht="15.75" customHeight="1" s="36">
      <c r="A36" s="18" t="inlineStr">
        <is>
          <t>Beer Pork</t>
        </is>
      </c>
      <c r="B36" s="18" t="inlineStr">
        <is>
          <t>Pork Belly, Spring Onion, Ginger, Garlic, Soy Sauce, Beer, Sugar</t>
        </is>
      </c>
      <c r="C36" s="17" t="inlineStr">
        <is>
          <t>Dinner</t>
        </is>
      </c>
      <c r="D36" s="29" t="inlineStr">
        <is>
          <t>Asian</t>
        </is>
      </c>
      <c r="E36" s="17" t="inlineStr">
        <is>
          <t>Low</t>
        </is>
      </c>
      <c r="F36" s="19" t="inlineStr">
        <is>
          <t>https://www.instagram.com/reel/C68XW-2Pl3Y/?igsh=MWdvcGhybG1ybWNmag==</t>
        </is>
      </c>
      <c r="G36" s="27">
        <f>IF(AND(ISNUMBER(SEARCH("Breakfast",$C36)),$D36="Asian"),RAND(),"")</f>
        <v/>
      </c>
      <c r="H36" s="27">
        <f>IF(AND(ISNUMBER(SEARCH("Breakfast",$C36)),$D36="Chinese"),RAND(),"")</f>
        <v/>
      </c>
      <c r="I36" s="27">
        <f>IF(AND(ISNUMBER(SEARCH("Breakfast",$C36)),$D36="Western"),RAND(),"")</f>
        <v/>
      </c>
      <c r="J36" s="27">
        <f>IF(AND(ISNUMBER(SEARCH("Lunch",$C36)),$D36="Asian"),RAND(),"")</f>
        <v/>
      </c>
      <c r="K36" s="27">
        <f>IF(AND(ISNUMBER(SEARCH("Lunch",$C36)),$D36="Chinese"),RAND(),"")</f>
        <v/>
      </c>
      <c r="L36" s="27">
        <f>IF(AND(ISNUMBER(SEARCH("Lunch",$C36)),$D36="Western"),RAND(),"")</f>
        <v/>
      </c>
      <c r="M36" s="27">
        <f>IF(AND(ISNUMBER(SEARCH("Dinner",$C36)),$D36="Asian"),RAND(),"")</f>
        <v/>
      </c>
      <c r="N36" s="27">
        <f>IF(AND(ISNUMBER(SEARCH("Dinner",$C36)),$D36="Chinese"),RAND(),"")</f>
        <v/>
      </c>
      <c r="O36" s="27">
        <f>IF(AND(ISNUMBER(SEARCH("Dinner",$C36)),$D36="Western"),RAND(),"")</f>
        <v/>
      </c>
    </row>
    <row r="37" ht="15.75" customHeight="1" s="36">
      <c r="A37" s="22" t="inlineStr">
        <is>
          <t>Beets</t>
        </is>
      </c>
      <c r="B37" s="22" t="inlineStr">
        <is>
          <t>Honey, Fig, Baby Spinach, Red Onion, Walnuts, Apple Cider Vinegar, Feta Cheese</t>
        </is>
      </c>
      <c r="C37" s="21" t="inlineStr">
        <is>
          <t>Dinner</t>
        </is>
      </c>
      <c r="D37" s="30" t="inlineStr">
        <is>
          <t>Western</t>
        </is>
      </c>
      <c r="E37" s="21" t="inlineStr">
        <is>
          <t>Med</t>
        </is>
      </c>
      <c r="F37" s="23" t="inlineStr">
        <is>
          <t>https://www.kitchenstories.com/en/recipes/mixed-beet-salad-with-honey-mustard-dressing</t>
        </is>
      </c>
      <c r="G37" s="28">
        <f>IF(AND(ISNUMBER(SEARCH("Breakfast",$C37)),$D37="Asian"),RAND(),"")</f>
        <v/>
      </c>
      <c r="H37" s="28">
        <f>IF(AND(ISNUMBER(SEARCH("Breakfast",$C37)),$D37="Chinese"),RAND(),"")</f>
        <v/>
      </c>
      <c r="I37" s="28">
        <f>IF(AND(ISNUMBER(SEARCH("Breakfast",$C37)),$D37="Western"),RAND(),"")</f>
        <v/>
      </c>
      <c r="J37" s="28">
        <f>IF(AND(ISNUMBER(SEARCH("Lunch",$C37)),$D37="Asian"),RAND(),"")</f>
        <v/>
      </c>
      <c r="K37" s="28">
        <f>IF(AND(ISNUMBER(SEARCH("Lunch",$C37)),$D37="Chinese"),RAND(),"")</f>
        <v/>
      </c>
      <c r="L37" s="28">
        <f>IF(AND(ISNUMBER(SEARCH("Lunch",$C37)),$D37="Western"),RAND(),"")</f>
        <v/>
      </c>
      <c r="M37" s="28">
        <f>IF(AND(ISNUMBER(SEARCH("Dinner",$C37)),$D37="Asian"),RAND(),"")</f>
        <v/>
      </c>
      <c r="N37" s="28">
        <f>IF(AND(ISNUMBER(SEARCH("Dinner",$C37)),$D37="Chinese"),RAND(),"")</f>
        <v/>
      </c>
      <c r="O37" s="28">
        <f>IF(AND(ISNUMBER(SEARCH("Dinner",$C37)),$D37="Western"),RAND(),"")</f>
        <v/>
      </c>
    </row>
    <row r="38" ht="15.75" customHeight="1" s="36">
      <c r="A38" s="18" t="inlineStr">
        <is>
          <t>Beets salad</t>
        </is>
      </c>
      <c r="B38" s="18" t="inlineStr">
        <is>
          <t>Beetroot, Mint, Pine nuts, Grapefruit, Orange, Lime, Olive oil, Honey, Feta cheese</t>
        </is>
      </c>
      <c r="C38" s="17" t="inlineStr">
        <is>
          <t>Dinner</t>
        </is>
      </c>
      <c r="D38" s="30" t="inlineStr">
        <is>
          <t>Western</t>
        </is>
      </c>
      <c r="E38" s="17" t="inlineStr">
        <is>
          <t>High</t>
        </is>
      </c>
      <c r="F38" s="18" t="n"/>
      <c r="G38" s="27">
        <f>IF(AND(ISNUMBER(SEARCH("Breakfast",$C38)),$D38="Asian"),RAND(),"")</f>
        <v/>
      </c>
      <c r="H38" s="27">
        <f>IF(AND(ISNUMBER(SEARCH("Breakfast",$C38)),$D38="Chinese"),RAND(),"")</f>
        <v/>
      </c>
      <c r="I38" s="27">
        <f>IF(AND(ISNUMBER(SEARCH("Breakfast",$C38)),$D38="Western"),RAND(),"")</f>
        <v/>
      </c>
      <c r="J38" s="27">
        <f>IF(AND(ISNUMBER(SEARCH("Lunch",$C38)),$D38="Asian"),RAND(),"")</f>
        <v/>
      </c>
      <c r="K38" s="27">
        <f>IF(AND(ISNUMBER(SEARCH("Lunch",$C38)),$D38="Chinese"),RAND(),"")</f>
        <v/>
      </c>
      <c r="L38" s="27">
        <f>IF(AND(ISNUMBER(SEARCH("Lunch",$C38)),$D38="Western"),RAND(),"")</f>
        <v/>
      </c>
      <c r="M38" s="27">
        <f>IF(AND(ISNUMBER(SEARCH("Dinner",$C38)),$D38="Asian"),RAND(),"")</f>
        <v/>
      </c>
      <c r="N38" s="27">
        <f>IF(AND(ISNUMBER(SEARCH("Dinner",$C38)),$D38="Chinese"),RAND(),"")</f>
        <v/>
      </c>
      <c r="O38" s="27">
        <f>IF(AND(ISNUMBER(SEARCH("Dinner",$C38)),$D38="Western"),RAND(),"")</f>
        <v/>
      </c>
    </row>
    <row r="39" ht="15.75" customHeight="1" s="36">
      <c r="A39" s="22" t="inlineStr">
        <is>
          <t>Bianyu Vege</t>
        </is>
      </c>
      <c r="B39" s="32" t="inlineStr">
        <is>
          <t>白菜, 虾米, 扁鱼, Garlic</t>
        </is>
      </c>
      <c r="C39" s="21" t="inlineStr">
        <is>
          <t>Dinner</t>
        </is>
      </c>
      <c r="D39" s="26" t="inlineStr">
        <is>
          <t>Chinese</t>
        </is>
      </c>
      <c r="E39" s="21" t="inlineStr">
        <is>
          <t>High</t>
        </is>
      </c>
      <c r="F39" s="23" t="inlineStr">
        <is>
          <t>https://icook.tw/recipes/292390?utm_source=copy&amp;utm_medium=sharev3&amp;utm_campaign=recipe-share</t>
        </is>
      </c>
      <c r="G39" s="28">
        <f>IF(AND(ISNUMBER(SEARCH("Breakfast",$C39)),$D39="Asian"),RAND(),"")</f>
        <v/>
      </c>
      <c r="H39" s="28">
        <f>IF(AND(ISNUMBER(SEARCH("Breakfast",$C39)),$D39="Chinese"),RAND(),"")</f>
        <v/>
      </c>
      <c r="I39" s="28">
        <f>IF(AND(ISNUMBER(SEARCH("Breakfast",$C39)),$D39="Western"),RAND(),"")</f>
        <v/>
      </c>
      <c r="J39" s="28">
        <f>IF(AND(ISNUMBER(SEARCH("Lunch",$C39)),$D39="Asian"),RAND(),"")</f>
        <v/>
      </c>
      <c r="K39" s="28">
        <f>IF(AND(ISNUMBER(SEARCH("Lunch",$C39)),$D39="Chinese"),RAND(),"")</f>
        <v/>
      </c>
      <c r="L39" s="28">
        <f>IF(AND(ISNUMBER(SEARCH("Lunch",$C39)),$D39="Western"),RAND(),"")</f>
        <v/>
      </c>
      <c r="M39" s="28">
        <f>IF(AND(ISNUMBER(SEARCH("Dinner",$C39)),$D39="Asian"),RAND(),"")</f>
        <v/>
      </c>
      <c r="N39" s="28">
        <f>IF(AND(ISNUMBER(SEARCH("Dinner",$C39)),$D39="Chinese"),RAND(),"")</f>
        <v/>
      </c>
      <c r="O39" s="28">
        <f>IF(AND(ISNUMBER(SEARCH("Dinner",$C39)),$D39="Western"),RAND(),"")</f>
        <v/>
      </c>
    </row>
    <row r="40" ht="15.75" customHeight="1" s="36">
      <c r="A40" s="18" t="inlineStr">
        <is>
          <t>Bitter Gourd Soup</t>
        </is>
      </c>
      <c r="B40" s="18" t="inlineStr">
        <is>
          <t>Bitter Gourd, 排骨, 黃豆, 香菇, 米酒, 老菜脯</t>
        </is>
      </c>
      <c r="C40" s="17" t="inlineStr">
        <is>
          <t>Dinner</t>
        </is>
      </c>
      <c r="D40" s="26" t="inlineStr">
        <is>
          <t>Chinese</t>
        </is>
      </c>
      <c r="E40" s="17" t="inlineStr">
        <is>
          <t>High</t>
        </is>
      </c>
      <c r="F40" s="19" t="inlineStr">
        <is>
          <t>https://icook.tw/recipes/438028?utm_source=copy&amp;utm_medium=sharev3&amp;utm_campaign=recipe-share</t>
        </is>
      </c>
      <c r="G40" s="27">
        <f>IF(AND(ISNUMBER(SEARCH("Breakfast",$C40)),$D40="Asian"),RAND(),"")</f>
        <v/>
      </c>
      <c r="H40" s="27">
        <f>IF(AND(ISNUMBER(SEARCH("Breakfast",$C40)),$D40="Chinese"),RAND(),"")</f>
        <v/>
      </c>
      <c r="I40" s="27">
        <f>IF(AND(ISNUMBER(SEARCH("Breakfast",$C40)),$D40="Western"),RAND(),"")</f>
        <v/>
      </c>
      <c r="J40" s="27">
        <f>IF(AND(ISNUMBER(SEARCH("Lunch",$C40)),$D40="Asian"),RAND(),"")</f>
        <v/>
      </c>
      <c r="K40" s="27">
        <f>IF(AND(ISNUMBER(SEARCH("Lunch",$C40)),$D40="Chinese"),RAND(),"")</f>
        <v/>
      </c>
      <c r="L40" s="27">
        <f>IF(AND(ISNUMBER(SEARCH("Lunch",$C40)),$D40="Western"),RAND(),"")</f>
        <v/>
      </c>
      <c r="M40" s="27">
        <f>IF(AND(ISNUMBER(SEARCH("Dinner",$C40)),$D40="Asian"),RAND(),"")</f>
        <v/>
      </c>
      <c r="N40" s="27">
        <f>IF(AND(ISNUMBER(SEARCH("Dinner",$C40)),$D40="Chinese"),RAND(),"")</f>
        <v/>
      </c>
      <c r="O40" s="27">
        <f>IF(AND(ISNUMBER(SEARCH("Dinner",$C40)),$D40="Western"),RAND(),"")</f>
        <v/>
      </c>
      <c r="P40" s="0" t="b">
        <v>1</v>
      </c>
    </row>
    <row r="41" ht="15.75" customHeight="1" s="36">
      <c r="A41" s="22" t="inlineStr">
        <is>
          <t>Bittergourd Soup</t>
        </is>
      </c>
      <c r="B41" s="22" t="inlineStr">
        <is>
          <t>Pork Belly, Spring Onion, Ginger, Garlic, Soy Sauce, Beer, Sugar, Chicken Stock, Bittergourd</t>
        </is>
      </c>
      <c r="C41" s="21" t="inlineStr">
        <is>
          <t>Dinner</t>
        </is>
      </c>
      <c r="D41" s="26" t="inlineStr">
        <is>
          <t>Chinese</t>
        </is>
      </c>
      <c r="E41" s="21" t="inlineStr">
        <is>
          <t>Low</t>
        </is>
      </c>
      <c r="F41" s="23" t="inlineStr">
        <is>
          <t>https://icook.tw/recipes/341023?utm_source=copy&amp;utm_medium=sharev3&amp;utm_campaign=recipe-share</t>
        </is>
      </c>
      <c r="G41" s="28">
        <f>IF(AND(ISNUMBER(SEARCH("Breakfast",$C41)),$D41="Asian"),RAND(),"")</f>
        <v/>
      </c>
      <c r="H41" s="28">
        <f>IF(AND(ISNUMBER(SEARCH("Breakfast",$C41)),$D41="Chinese"),RAND(),"")</f>
        <v/>
      </c>
      <c r="I41" s="28">
        <f>IF(AND(ISNUMBER(SEARCH("Breakfast",$C41)),$D41="Western"),RAND(),"")</f>
        <v/>
      </c>
      <c r="J41" s="28">
        <f>IF(AND(ISNUMBER(SEARCH("Lunch",$C41)),$D41="Asian"),RAND(),"")</f>
        <v/>
      </c>
      <c r="K41" s="28">
        <f>IF(AND(ISNUMBER(SEARCH("Lunch",$C41)),$D41="Chinese"),RAND(),"")</f>
        <v/>
      </c>
      <c r="L41" s="28">
        <f>IF(AND(ISNUMBER(SEARCH("Lunch",$C41)),$D41="Western"),RAND(),"")</f>
        <v/>
      </c>
      <c r="M41" s="28">
        <f>IF(AND(ISNUMBER(SEARCH("Dinner",$C41)),$D41="Asian"),RAND(),"")</f>
        <v/>
      </c>
      <c r="N41" s="28">
        <f>IF(AND(ISNUMBER(SEARCH("Dinner",$C41)),$D41="Chinese"),RAND(),"")</f>
        <v/>
      </c>
      <c r="O41" s="28">
        <f>IF(AND(ISNUMBER(SEARCH("Dinner",$C41)),$D41="Western"),RAND(),"")</f>
        <v/>
      </c>
      <c r="P41" s="0" t="b">
        <v>1</v>
      </c>
    </row>
    <row r="42" ht="15.75" customHeight="1" s="36">
      <c r="A42" s="18" t="inlineStr">
        <is>
          <t>BKT</t>
        </is>
      </c>
      <c r="B42" s="18" t="inlineStr">
        <is>
          <t>BKT pack, Pork Ribs, Mushroom, Red Dates</t>
        </is>
      </c>
      <c r="C42" s="17" t="inlineStr">
        <is>
          <t>Dinner</t>
        </is>
      </c>
      <c r="D42" s="26" t="inlineStr">
        <is>
          <t>Chinese</t>
        </is>
      </c>
      <c r="E42" s="17" t="inlineStr">
        <is>
          <t>High</t>
        </is>
      </c>
      <c r="F42" s="19" t="inlineStr">
        <is>
          <t>https://icook.tw/recipes/463019?utm_source=copy&amp;utm_medium=sharev3&amp;utm_campaign=recipe-share</t>
        </is>
      </c>
      <c r="G42" s="27">
        <f>IF(AND(ISNUMBER(SEARCH("Breakfast",$C42)),$D42="Asian"),RAND(),"")</f>
        <v/>
      </c>
      <c r="H42" s="27">
        <f>IF(AND(ISNUMBER(SEARCH("Breakfast",$C42)),$D42="Chinese"),RAND(),"")</f>
        <v/>
      </c>
      <c r="I42" s="27">
        <f>IF(AND(ISNUMBER(SEARCH("Breakfast",$C42)),$D42="Western"),RAND(),"")</f>
        <v/>
      </c>
      <c r="J42" s="27">
        <f>IF(AND(ISNUMBER(SEARCH("Lunch",$C42)),$D42="Asian"),RAND(),"")</f>
        <v/>
      </c>
      <c r="K42" s="27">
        <f>IF(AND(ISNUMBER(SEARCH("Lunch",$C42)),$D42="Chinese"),RAND(),"")</f>
        <v/>
      </c>
      <c r="L42" s="27">
        <f>IF(AND(ISNUMBER(SEARCH("Lunch",$C42)),$D42="Western"),RAND(),"")</f>
        <v/>
      </c>
      <c r="M42" s="27">
        <f>IF(AND(ISNUMBER(SEARCH("Dinner",$C42)),$D42="Asian"),RAND(),"")</f>
        <v/>
      </c>
      <c r="N42" s="27">
        <f>IF(AND(ISNUMBER(SEARCH("Dinner",$C42)),$D42="Chinese"),RAND(),"")</f>
        <v/>
      </c>
      <c r="O42" s="27">
        <f>IF(AND(ISNUMBER(SEARCH("Dinner",$C42)),$D42="Western"),RAND(),"")</f>
        <v/>
      </c>
    </row>
    <row r="43" ht="15.75" customHeight="1" s="36">
      <c r="A43" s="22" t="inlineStr">
        <is>
          <t>Black Bean Brownie</t>
        </is>
      </c>
      <c r="B43" s="22" t="inlineStr">
        <is>
          <t>Egg, Almonds, Black beans, Milo powder, Baking powder, Dates, Almond milk, Vanilla, Almond butter, Dark chocolate</t>
        </is>
      </c>
      <c r="C43" s="21" t="inlineStr">
        <is>
          <t>Breakfast</t>
        </is>
      </c>
      <c r="D43" s="30" t="inlineStr">
        <is>
          <t>Western</t>
        </is>
      </c>
      <c r="E43" s="21" t="inlineStr">
        <is>
          <t>Low</t>
        </is>
      </c>
      <c r="F43" s="23" t="inlineStr">
        <is>
          <t>https://gatheringdreams.com/black-bean-brownies/</t>
        </is>
      </c>
      <c r="G43" s="28">
        <f>IF(AND(ISNUMBER(SEARCH("Breakfast",$C43)),$D43="Asian"),RAND(),"")</f>
        <v/>
      </c>
      <c r="H43" s="28">
        <f>IF(AND(ISNUMBER(SEARCH("Breakfast",$C43)),$D43="Chinese"),RAND(),"")</f>
        <v/>
      </c>
      <c r="I43" s="28">
        <f>IF(AND(ISNUMBER(SEARCH("Breakfast",$C43)),$D43="Western"),RAND(),"")</f>
        <v/>
      </c>
      <c r="J43" s="28">
        <f>IF(AND(ISNUMBER(SEARCH("Lunch",$C43)),$D43="Asian"),RAND(),"")</f>
        <v/>
      </c>
      <c r="K43" s="28">
        <f>IF(AND(ISNUMBER(SEARCH("Lunch",$C43)),$D43="Chinese"),RAND(),"")</f>
        <v/>
      </c>
      <c r="L43" s="28">
        <f>IF(AND(ISNUMBER(SEARCH("Lunch",$C43)),$D43="Western"),RAND(),"")</f>
        <v/>
      </c>
      <c r="M43" s="28">
        <f>IF(AND(ISNUMBER(SEARCH("Dinner",$C43)),$D43="Asian"),RAND(),"")</f>
        <v/>
      </c>
      <c r="N43" s="28">
        <f>IF(AND(ISNUMBER(SEARCH("Dinner",$C43)),$D43="Chinese"),RAND(),"")</f>
        <v/>
      </c>
      <c r="O43" s="28">
        <f>IF(AND(ISNUMBER(SEARCH("Dinner",$C43)),$D43="Western"),RAND(),"")</f>
        <v/>
      </c>
    </row>
    <row r="44" ht="15.75" customHeight="1" s="36">
      <c r="A44" s="22" t="inlineStr">
        <is>
          <t>Black Chicken Dangshen Soup</t>
        </is>
      </c>
      <c r="B44" s="22" t="inlineStr">
        <is>
          <t>Black Chicken, Chinese Yam, 党参, 红枣, 枸杞, 龙眼</t>
        </is>
      </c>
      <c r="C44" s="21" t="inlineStr">
        <is>
          <t>Dinner</t>
        </is>
      </c>
      <c r="D44" s="26" t="inlineStr">
        <is>
          <t>Chinese</t>
        </is>
      </c>
      <c r="E44" s="21" t="inlineStr">
        <is>
          <t>Med</t>
        </is>
      </c>
      <c r="F44" s="23" t="inlineStr">
        <is>
          <t>https://www.instagram.com/reel/DN4mhnbCTN4/?igsh=MWxrajBrbXVzOXFoOQ==</t>
        </is>
      </c>
      <c r="G44" s="28">
        <f>IF(AND(ISNUMBER(SEARCH("Breakfast",$C44)),$D44="Asian"),RAND(),"")</f>
        <v/>
      </c>
      <c r="H44" s="28">
        <f>IF(AND(ISNUMBER(SEARCH("Breakfast",$C44)),$D44="Chinese"),RAND(),"")</f>
        <v/>
      </c>
      <c r="I44" s="28">
        <f>IF(AND(ISNUMBER(SEARCH("Breakfast",$C44)),$D44="Western"),RAND(),"")</f>
        <v/>
      </c>
      <c r="J44" s="28">
        <f>IF(AND(ISNUMBER(SEARCH("Lunch",$C44)),$D44="Asian"),RAND(),"")</f>
        <v/>
      </c>
      <c r="K44" s="28">
        <f>IF(AND(ISNUMBER(SEARCH("Lunch",$C44)),$D44="Chinese"),RAND(),"")</f>
        <v/>
      </c>
      <c r="L44" s="28">
        <f>IF(AND(ISNUMBER(SEARCH("Lunch",$C44)),$D44="Western"),RAND(),"")</f>
        <v/>
      </c>
      <c r="M44" s="28">
        <f>IF(AND(ISNUMBER(SEARCH("Dinner",$C44)),$D44="Asian"),RAND(),"")</f>
        <v/>
      </c>
      <c r="N44" s="28">
        <f>IF(AND(ISNUMBER(SEARCH("Dinner",$C44)),$D44="Chinese"),RAND(),"")</f>
        <v/>
      </c>
      <c r="O44" s="28">
        <f>IF(AND(ISNUMBER(SEARCH("Dinner",$C44)),$D44="Western"),RAND(),"")</f>
        <v/>
      </c>
      <c r="P44" s="0" t="b">
        <v>1</v>
      </c>
    </row>
    <row r="45" ht="15.75" customHeight="1" s="36">
      <c r="A45" s="18" t="inlineStr">
        <is>
          <t>Black Chicken Herbal</t>
        </is>
      </c>
      <c r="B45" s="18" t="inlineStr">
        <is>
          <t>Black Chicken, Herbal Packet</t>
        </is>
      </c>
      <c r="C45" s="17" t="inlineStr">
        <is>
          <t>Dinner</t>
        </is>
      </c>
      <c r="D45" s="26" t="inlineStr">
        <is>
          <t>Chinese</t>
        </is>
      </c>
      <c r="E45" s="17" t="inlineStr">
        <is>
          <t>Med</t>
        </is>
      </c>
      <c r="F45" s="18" t="n"/>
      <c r="G45" s="27">
        <f>IF(AND(ISNUMBER(SEARCH("Breakfast",$C45)),$D45="Asian"),RAND(),"")</f>
        <v/>
      </c>
      <c r="H45" s="27">
        <f>IF(AND(ISNUMBER(SEARCH("Breakfast",$C45)),$D45="Chinese"),RAND(),"")</f>
        <v/>
      </c>
      <c r="I45" s="27">
        <f>IF(AND(ISNUMBER(SEARCH("Breakfast",$C45)),$D45="Western"),RAND(),"")</f>
        <v/>
      </c>
      <c r="J45" s="27">
        <f>IF(AND(ISNUMBER(SEARCH("Lunch",$C45)),$D45="Asian"),RAND(),"")</f>
        <v/>
      </c>
      <c r="K45" s="27">
        <f>IF(AND(ISNUMBER(SEARCH("Lunch",$C45)),$D45="Chinese"),RAND(),"")</f>
        <v/>
      </c>
      <c r="L45" s="27">
        <f>IF(AND(ISNUMBER(SEARCH("Lunch",$C45)),$D45="Western"),RAND(),"")</f>
        <v/>
      </c>
      <c r="M45" s="27">
        <f>IF(AND(ISNUMBER(SEARCH("Dinner",$C45)),$D45="Asian"),RAND(),"")</f>
        <v/>
      </c>
      <c r="N45" s="27">
        <f>IF(AND(ISNUMBER(SEARCH("Dinner",$C45)),$D45="Chinese"),RAND(),"")</f>
        <v/>
      </c>
      <c r="O45" s="27">
        <f>IF(AND(ISNUMBER(SEARCH("Dinner",$C45)),$D45="Western"),RAND(),"")</f>
        <v/>
      </c>
    </row>
    <row r="46" ht="15.75" customHeight="1" s="36">
      <c r="A46" s="18" t="inlineStr">
        <is>
          <t>Black Pepper Crab</t>
        </is>
      </c>
      <c r="B46" s="18" t="inlineStr">
        <is>
          <t>Crab sauce, Crab, Cornflour, Oil, Unsalted Butter</t>
        </is>
      </c>
      <c r="C46" s="17" t="inlineStr">
        <is>
          <t>Dinner</t>
        </is>
      </c>
      <c r="D46" s="26" t="inlineStr">
        <is>
          <t>Chinese</t>
        </is>
      </c>
      <c r="E46" s="17" t="inlineStr">
        <is>
          <t>Low</t>
        </is>
      </c>
      <c r="F46" s="18" t="n"/>
      <c r="G46" s="27">
        <f>IF(AND(ISNUMBER(SEARCH("Breakfast",$C46)),$D46="Asian"),RAND(),"")</f>
        <v/>
      </c>
      <c r="H46" s="27">
        <f>IF(AND(ISNUMBER(SEARCH("Breakfast",$C46)),$D46="Chinese"),RAND(),"")</f>
        <v/>
      </c>
      <c r="I46" s="27">
        <f>IF(AND(ISNUMBER(SEARCH("Breakfast",$C46)),$D46="Western"),RAND(),"")</f>
        <v/>
      </c>
      <c r="J46" s="27">
        <f>IF(AND(ISNUMBER(SEARCH("Lunch",$C46)),$D46="Asian"),RAND(),"")</f>
        <v/>
      </c>
      <c r="K46" s="27">
        <f>IF(AND(ISNUMBER(SEARCH("Lunch",$C46)),$D46="Chinese"),RAND(),"")</f>
        <v/>
      </c>
      <c r="L46" s="27">
        <f>IF(AND(ISNUMBER(SEARCH("Lunch",$C46)),$D46="Western"),RAND(),"")</f>
        <v/>
      </c>
      <c r="M46" s="27">
        <f>IF(AND(ISNUMBER(SEARCH("Dinner",$C46)),$D46="Asian"),RAND(),"")</f>
        <v/>
      </c>
      <c r="N46" s="27">
        <f>IF(AND(ISNUMBER(SEARCH("Dinner",$C46)),$D46="Chinese"),RAND(),"")</f>
        <v/>
      </c>
      <c r="O46" s="27">
        <f>IF(AND(ISNUMBER(SEARCH("Dinner",$C46)),$D46="Western"),RAND(),"")</f>
        <v/>
      </c>
    </row>
    <row r="47" ht="15.75" customHeight="1" s="36">
      <c r="A47" s="22" t="inlineStr">
        <is>
          <t>Black Silkie Chicken with Vegetable and Chestnuts</t>
        </is>
      </c>
      <c r="B47" s="22" t="inlineStr">
        <is>
          <t>Black Chicken, Chestnuts x 20, Corn, Carrot, Onion, Longans</t>
        </is>
      </c>
      <c r="C47" s="21" t="inlineStr">
        <is>
          <t>Dinner</t>
        </is>
      </c>
      <c r="D47" s="26" t="inlineStr">
        <is>
          <t>Chinese</t>
        </is>
      </c>
      <c r="E47" s="21" t="inlineStr">
        <is>
          <t>Low</t>
        </is>
      </c>
      <c r="F47" s="23" t="inlineStr">
        <is>
          <t>https://theasianparent.page.link/PUpD5eeHYv58MgiZ6</t>
        </is>
      </c>
      <c r="G47" s="28">
        <f>IF(AND(ISNUMBER(SEARCH("Breakfast",$C47)),$D47="Asian"),RAND(),"")</f>
        <v/>
      </c>
      <c r="H47" s="28">
        <f>IF(AND(ISNUMBER(SEARCH("Breakfast",$C47)),$D47="Chinese"),RAND(),"")</f>
        <v/>
      </c>
      <c r="I47" s="28">
        <f>IF(AND(ISNUMBER(SEARCH("Breakfast",$C47)),$D47="Western"),RAND(),"")</f>
        <v/>
      </c>
      <c r="J47" s="28">
        <f>IF(AND(ISNUMBER(SEARCH("Lunch",$C47)),$D47="Asian"),RAND(),"")</f>
        <v/>
      </c>
      <c r="K47" s="28">
        <f>IF(AND(ISNUMBER(SEARCH("Lunch",$C47)),$D47="Chinese"),RAND(),"")</f>
        <v/>
      </c>
      <c r="L47" s="28">
        <f>IF(AND(ISNUMBER(SEARCH("Lunch",$C47)),$D47="Western"),RAND(),"")</f>
        <v/>
      </c>
      <c r="M47" s="28">
        <f>IF(AND(ISNUMBER(SEARCH("Dinner",$C47)),$D47="Asian"),RAND(),"")</f>
        <v/>
      </c>
      <c r="N47" s="28">
        <f>IF(AND(ISNUMBER(SEARCH("Dinner",$C47)),$D47="Chinese"),RAND(),"")</f>
        <v/>
      </c>
      <c r="O47" s="28">
        <f>IF(AND(ISNUMBER(SEARCH("Dinner",$C47)),$D47="Western"),RAND(),"")</f>
        <v/>
      </c>
    </row>
    <row r="48" ht="15.75" customHeight="1" s="36">
      <c r="A48" s="18" t="inlineStr">
        <is>
          <t>BLACK SWEET VINEGAR PORK TROTTER)</t>
        </is>
      </c>
      <c r="B48" s="18" t="inlineStr">
        <is>
          <t>Pork trotters, Ginger, Sugar, Chinese black rice vinegar, Sweet black vinegar, Sesame oil, Light soy sauce</t>
        </is>
      </c>
      <c r="C48" s="17" t="inlineStr">
        <is>
          <t>Dinner</t>
        </is>
      </c>
      <c r="D48" s="26" t="inlineStr">
        <is>
          <t>Chinese</t>
        </is>
      </c>
      <c r="E48" s="17" t="inlineStr">
        <is>
          <t>Low</t>
        </is>
      </c>
      <c r="F48" s="18" t="n"/>
      <c r="G48" s="27">
        <f>IF(AND(ISNUMBER(SEARCH("Breakfast",$C48)),$D48="Asian"),RAND(),"")</f>
        <v/>
      </c>
      <c r="H48" s="27">
        <f>IF(AND(ISNUMBER(SEARCH("Breakfast",$C48)),$D48="Chinese"),RAND(),"")</f>
        <v/>
      </c>
      <c r="I48" s="27">
        <f>IF(AND(ISNUMBER(SEARCH("Breakfast",$C48)),$D48="Western"),RAND(),"")</f>
        <v/>
      </c>
      <c r="J48" s="27">
        <f>IF(AND(ISNUMBER(SEARCH("Lunch",$C48)),$D48="Asian"),RAND(),"")</f>
        <v/>
      </c>
      <c r="K48" s="27">
        <f>IF(AND(ISNUMBER(SEARCH("Lunch",$C48)),$D48="Chinese"),RAND(),"")</f>
        <v/>
      </c>
      <c r="L48" s="27">
        <f>IF(AND(ISNUMBER(SEARCH("Lunch",$C48)),$D48="Western"),RAND(),"")</f>
        <v/>
      </c>
      <c r="M48" s="27">
        <f>IF(AND(ISNUMBER(SEARCH("Dinner",$C48)),$D48="Asian"),RAND(),"")</f>
        <v/>
      </c>
      <c r="N48" s="27">
        <f>IF(AND(ISNUMBER(SEARCH("Dinner",$C48)),$D48="Chinese"),RAND(),"")</f>
        <v/>
      </c>
      <c r="O48" s="27">
        <f>IF(AND(ISNUMBER(SEARCH("Dinner",$C48)),$D48="Western"),RAND(),"")</f>
        <v/>
      </c>
    </row>
    <row r="49" ht="15.75" customHeight="1" s="36">
      <c r="A49" s="22" t="inlineStr">
        <is>
          <t>Blanched Choy Sum</t>
        </is>
      </c>
      <c r="B49" s="22" t="inlineStr">
        <is>
          <t>Choy Sum, Oyster Sauce</t>
        </is>
      </c>
      <c r="C49" s="21" t="inlineStr">
        <is>
          <t>Dinner</t>
        </is>
      </c>
      <c r="D49" s="26" t="inlineStr">
        <is>
          <t>Chinese</t>
        </is>
      </c>
      <c r="E49" s="21" t="inlineStr">
        <is>
          <t>High</t>
        </is>
      </c>
      <c r="F49" s="22" t="n"/>
      <c r="G49" s="28">
        <f>IF(AND(ISNUMBER(SEARCH("Breakfast",$C49)),$D49="Asian"),RAND(),"")</f>
        <v/>
      </c>
      <c r="H49" s="28">
        <f>IF(AND(ISNUMBER(SEARCH("Breakfast",$C49)),$D49="Chinese"),RAND(),"")</f>
        <v/>
      </c>
      <c r="I49" s="28">
        <f>IF(AND(ISNUMBER(SEARCH("Breakfast",$C49)),$D49="Western"),RAND(),"")</f>
        <v/>
      </c>
      <c r="J49" s="28">
        <f>IF(AND(ISNUMBER(SEARCH("Lunch",$C49)),$D49="Asian"),RAND(),"")</f>
        <v/>
      </c>
      <c r="K49" s="28">
        <f>IF(AND(ISNUMBER(SEARCH("Lunch",$C49)),$D49="Chinese"),RAND(),"")</f>
        <v/>
      </c>
      <c r="L49" s="28">
        <f>IF(AND(ISNUMBER(SEARCH("Lunch",$C49)),$D49="Western"),RAND(),"")</f>
        <v/>
      </c>
      <c r="M49" s="28">
        <f>IF(AND(ISNUMBER(SEARCH("Dinner",$C49)),$D49="Asian"),RAND(),"")</f>
        <v/>
      </c>
      <c r="N49" s="28">
        <f>IF(AND(ISNUMBER(SEARCH("Dinner",$C49)),$D49="Chinese"),RAND(),"")</f>
        <v/>
      </c>
      <c r="O49" s="28">
        <f>IF(AND(ISNUMBER(SEARCH("Dinner",$C49)),$D49="Western"),RAND(),"")</f>
        <v/>
      </c>
    </row>
    <row r="50" ht="15.75" customHeight="1" s="36">
      <c r="A50" s="18" t="inlineStr">
        <is>
          <t>Boiled Soup</t>
        </is>
      </c>
      <c r="B50" s="18" t="inlineStr">
        <is>
          <t>Soup Pack</t>
        </is>
      </c>
      <c r="C50" s="17" t="inlineStr">
        <is>
          <t>Dinner</t>
        </is>
      </c>
      <c r="D50" s="26" t="inlineStr">
        <is>
          <t>Chinese</t>
        </is>
      </c>
      <c r="E50" s="17" t="inlineStr">
        <is>
          <t>Low</t>
        </is>
      </c>
      <c r="F50" s="18" t="n"/>
      <c r="G50" s="27">
        <f>IF(AND(ISNUMBER(SEARCH("Breakfast",$C50)),$D50="Asian"),RAND(),"")</f>
        <v/>
      </c>
      <c r="H50" s="27">
        <f>IF(AND(ISNUMBER(SEARCH("Breakfast",$C50)),$D50="Chinese"),RAND(),"")</f>
        <v/>
      </c>
      <c r="I50" s="27">
        <f>IF(AND(ISNUMBER(SEARCH("Breakfast",$C50)),$D50="Western"),RAND(),"")</f>
        <v/>
      </c>
      <c r="J50" s="27">
        <f>IF(AND(ISNUMBER(SEARCH("Lunch",$C50)),$D50="Asian"),RAND(),"")</f>
        <v/>
      </c>
      <c r="K50" s="27">
        <f>IF(AND(ISNUMBER(SEARCH("Lunch",$C50)),$D50="Chinese"),RAND(),"")</f>
        <v/>
      </c>
      <c r="L50" s="27">
        <f>IF(AND(ISNUMBER(SEARCH("Lunch",$C50)),$D50="Western"),RAND(),"")</f>
        <v/>
      </c>
      <c r="M50" s="27">
        <f>IF(AND(ISNUMBER(SEARCH("Dinner",$C50)),$D50="Asian"),RAND(),"")</f>
        <v/>
      </c>
      <c r="N50" s="27">
        <f>IF(AND(ISNUMBER(SEARCH("Dinner",$C50)),$D50="Chinese"),RAND(),"")</f>
        <v/>
      </c>
      <c r="O50" s="27">
        <f>IF(AND(ISNUMBER(SEARCH("Dinner",$C50)),$D50="Western"),RAND(),"")</f>
        <v/>
      </c>
      <c r="P50" s="0" t="b">
        <v>1</v>
      </c>
    </row>
    <row r="51" ht="15.75" customHeight="1" s="36">
      <c r="A51" s="22" t="inlineStr">
        <is>
          <t>Boiled Vege</t>
        </is>
      </c>
      <c r="B51" s="22" t="inlineStr">
        <is>
          <t>Lettuce, Oyster Sauce, White Pepper, Sesame Oil</t>
        </is>
      </c>
      <c r="C51" s="21" t="inlineStr">
        <is>
          <t>Dinner</t>
        </is>
      </c>
      <c r="D51" s="26" t="inlineStr">
        <is>
          <t>Chinese</t>
        </is>
      </c>
      <c r="E51" s="21" t="inlineStr">
        <is>
          <t>Med</t>
        </is>
      </c>
      <c r="F51" s="23" t="inlineStr">
        <is>
          <t>https://icook.tw/recipes/389003?utm_source=copy&amp;utm_medium=sharev3&amp;utm_campaign=recipe-share</t>
        </is>
      </c>
      <c r="G51" s="28">
        <f>IF(AND(ISNUMBER(SEARCH("Breakfast",$C51)),$D51="Asian"),RAND(),"")</f>
        <v/>
      </c>
      <c r="H51" s="28">
        <f>IF(AND(ISNUMBER(SEARCH("Breakfast",$C51)),$D51="Chinese"),RAND(),"")</f>
        <v/>
      </c>
      <c r="I51" s="28">
        <f>IF(AND(ISNUMBER(SEARCH("Breakfast",$C51)),$D51="Western"),RAND(),"")</f>
        <v/>
      </c>
      <c r="J51" s="28">
        <f>IF(AND(ISNUMBER(SEARCH("Lunch",$C51)),$D51="Asian"),RAND(),"")</f>
        <v/>
      </c>
      <c r="K51" s="28">
        <f>IF(AND(ISNUMBER(SEARCH("Lunch",$C51)),$D51="Chinese"),RAND(),"")</f>
        <v/>
      </c>
      <c r="L51" s="28">
        <f>IF(AND(ISNUMBER(SEARCH("Lunch",$C51)),$D51="Western"),RAND(),"")</f>
        <v/>
      </c>
      <c r="M51" s="28">
        <f>IF(AND(ISNUMBER(SEARCH("Dinner",$C51)),$D51="Asian"),RAND(),"")</f>
        <v/>
      </c>
      <c r="N51" s="28">
        <f>IF(AND(ISNUMBER(SEARCH("Dinner",$C51)),$D51="Chinese"),RAND(),"")</f>
        <v/>
      </c>
      <c r="O51" s="28">
        <f>IF(AND(ISNUMBER(SEARCH("Dinner",$C51)),$D51="Western"),RAND(),"")</f>
        <v/>
      </c>
    </row>
    <row r="52" ht="15.75" customHeight="1" s="36">
      <c r="A52" s="18" t="inlineStr">
        <is>
          <t>Braised Bitter Gourd</t>
        </is>
      </c>
      <c r="B52" s="18" t="inlineStr">
        <is>
          <t>White Bitter Gourd, Ginger, Soy Sauce, Black Bean, 冰糖, Chilli</t>
        </is>
      </c>
      <c r="C52" s="17" t="inlineStr">
        <is>
          <t>Dinner</t>
        </is>
      </c>
      <c r="D52" s="26" t="inlineStr">
        <is>
          <t>Chinese</t>
        </is>
      </c>
      <c r="E52" s="17" t="inlineStr">
        <is>
          <t>High</t>
        </is>
      </c>
      <c r="F52" s="19" t="inlineStr">
        <is>
          <t>https://icook.tw/recipes/197917?utm_source=copy&amp;utm_medium=sharev3&amp;utm_campaign=recipe-share</t>
        </is>
      </c>
      <c r="G52" s="27">
        <f>IF(AND(ISNUMBER(SEARCH("Breakfast",$C52)),$D52="Asian"),RAND(),"")</f>
        <v/>
      </c>
      <c r="H52" s="27">
        <f>IF(AND(ISNUMBER(SEARCH("Breakfast",$C52)),$D52="Chinese"),RAND(),"")</f>
        <v/>
      </c>
      <c r="I52" s="27">
        <f>IF(AND(ISNUMBER(SEARCH("Breakfast",$C52)),$D52="Western"),RAND(),"")</f>
        <v/>
      </c>
      <c r="J52" s="27">
        <f>IF(AND(ISNUMBER(SEARCH("Lunch",$C52)),$D52="Asian"),RAND(),"")</f>
        <v/>
      </c>
      <c r="K52" s="27">
        <f>IF(AND(ISNUMBER(SEARCH("Lunch",$C52)),$D52="Chinese"),RAND(),"")</f>
        <v/>
      </c>
      <c r="L52" s="27">
        <f>IF(AND(ISNUMBER(SEARCH("Lunch",$C52)),$D52="Western"),RAND(),"")</f>
        <v/>
      </c>
      <c r="M52" s="27">
        <f>IF(AND(ISNUMBER(SEARCH("Dinner",$C52)),$D52="Asian"),RAND(),"")</f>
        <v/>
      </c>
      <c r="N52" s="27">
        <f>IF(AND(ISNUMBER(SEARCH("Dinner",$C52)),$D52="Chinese"),RAND(),"")</f>
        <v/>
      </c>
      <c r="O52" s="27">
        <f>IF(AND(ISNUMBER(SEARCH("Dinner",$C52)),$D52="Western"),RAND(),"")</f>
        <v/>
      </c>
    </row>
    <row r="53" ht="15.75" customHeight="1" s="36">
      <c r="A53" s="22" t="inlineStr">
        <is>
          <t>Braised Fish</t>
        </is>
      </c>
      <c r="B53" s="22" t="inlineStr">
        <is>
          <t>fish, Red Onion, Garlic, Ginger, Coriander, Oyster Sauce, Light Soy Sauce, Fish Sauce, Sesame Oil</t>
        </is>
      </c>
      <c r="C53" s="21" t="inlineStr">
        <is>
          <t>Dinner</t>
        </is>
      </c>
      <c r="D53" s="26" t="inlineStr">
        <is>
          <t>Chinese</t>
        </is>
      </c>
      <c r="E53" s="21" t="inlineStr">
        <is>
          <t>Med</t>
        </is>
      </c>
      <c r="F53" s="23" t="inlineStr">
        <is>
          <t>https://kellycooks123.com/grandmas-braised-fish/</t>
        </is>
      </c>
      <c r="G53" s="28">
        <f>IF(AND(ISNUMBER(SEARCH("Breakfast",$C53)),$D53="Asian"),RAND(),"")</f>
        <v/>
      </c>
      <c r="H53" s="28">
        <f>IF(AND(ISNUMBER(SEARCH("Breakfast",$C53)),$D53="Chinese"),RAND(),"")</f>
        <v/>
      </c>
      <c r="I53" s="28">
        <f>IF(AND(ISNUMBER(SEARCH("Breakfast",$C53)),$D53="Western"),RAND(),"")</f>
        <v/>
      </c>
      <c r="J53" s="28">
        <f>IF(AND(ISNUMBER(SEARCH("Lunch",$C53)),$D53="Asian"),RAND(),"")</f>
        <v/>
      </c>
      <c r="K53" s="28">
        <f>IF(AND(ISNUMBER(SEARCH("Lunch",$C53)),$D53="Chinese"),RAND(),"")</f>
        <v/>
      </c>
      <c r="L53" s="28">
        <f>IF(AND(ISNUMBER(SEARCH("Lunch",$C53)),$D53="Western"),RAND(),"")</f>
        <v/>
      </c>
      <c r="M53" s="28">
        <f>IF(AND(ISNUMBER(SEARCH("Dinner",$C53)),$D53="Asian"),RAND(),"")</f>
        <v/>
      </c>
      <c r="N53" s="28">
        <f>IF(AND(ISNUMBER(SEARCH("Dinner",$C53)),$D53="Chinese"),RAND(),"")</f>
        <v/>
      </c>
      <c r="O53" s="28">
        <f>IF(AND(ISNUMBER(SEARCH("Dinner",$C53)),$D53="Western"),RAND(),"")</f>
        <v/>
      </c>
    </row>
    <row r="54" ht="15.75" customHeight="1" s="36">
      <c r="A54" s="18" t="inlineStr">
        <is>
          <t>Braised Meat</t>
        </is>
      </c>
      <c r="B54" s="18" t="inlineStr">
        <is>
          <t>Pork Belly, Five Spice Tofu, White Radish, Eggs, Garlic, Ginger, Green Onion, Star Anise, Bay Leaves, Pig Stomach, Sea cucumber</t>
        </is>
      </c>
      <c r="C54" s="17" t="inlineStr">
        <is>
          <t>Dinner</t>
        </is>
      </c>
      <c r="D54" s="26" t="inlineStr">
        <is>
          <t>Chinese</t>
        </is>
      </c>
      <c r="E54" s="17" t="inlineStr">
        <is>
          <t>High</t>
        </is>
      </c>
      <c r="F54" s="19" t="inlineStr">
        <is>
          <t>https://www.instagram.com/tv/CXQ3FHdAkd9/?igshid=N2NmMDY0OWE%3D</t>
        </is>
      </c>
      <c r="G54" s="27">
        <f>IF(AND(ISNUMBER(SEARCH("Breakfast",$C54)),$D54="Asian"),RAND(),"")</f>
        <v/>
      </c>
      <c r="H54" s="27">
        <f>IF(AND(ISNUMBER(SEARCH("Breakfast",$C54)),$D54="Chinese"),RAND(),"")</f>
        <v/>
      </c>
      <c r="I54" s="27">
        <f>IF(AND(ISNUMBER(SEARCH("Breakfast",$C54)),$D54="Western"),RAND(),"")</f>
        <v/>
      </c>
      <c r="J54" s="27">
        <f>IF(AND(ISNUMBER(SEARCH("Lunch",$C54)),$D54="Asian"),RAND(),"")</f>
        <v/>
      </c>
      <c r="K54" s="27">
        <f>IF(AND(ISNUMBER(SEARCH("Lunch",$C54)),$D54="Chinese"),RAND(),"")</f>
        <v/>
      </c>
      <c r="L54" s="27">
        <f>IF(AND(ISNUMBER(SEARCH("Lunch",$C54)),$D54="Western"),RAND(),"")</f>
        <v/>
      </c>
      <c r="M54" s="27">
        <f>IF(AND(ISNUMBER(SEARCH("Dinner",$C54)),$D54="Asian"),RAND(),"")</f>
        <v/>
      </c>
      <c r="N54" s="27">
        <f>IF(AND(ISNUMBER(SEARCH("Dinner",$C54)),$D54="Chinese"),RAND(),"")</f>
        <v/>
      </c>
      <c r="O54" s="27">
        <f>IF(AND(ISNUMBER(SEARCH("Dinner",$C54)),$D54="Western"),RAND(),"")</f>
        <v/>
      </c>
    </row>
    <row r="55" ht="15.75" customHeight="1" s="36">
      <c r="A55" s="22" t="inlineStr">
        <is>
          <t>Braised Pork with plum</t>
        </is>
      </c>
      <c r="B55" s="22" t="inlineStr">
        <is>
          <t>Short ribs, flour, shaoxing wine, ginger, spring onion, soya sauce, sourplums, Sprite</t>
        </is>
      </c>
      <c r="C55" s="21" t="inlineStr">
        <is>
          <t>Dinner</t>
        </is>
      </c>
      <c r="D55" s="26" t="inlineStr">
        <is>
          <t>Chinese</t>
        </is>
      </c>
      <c r="E55" s="21" t="inlineStr">
        <is>
          <t>High</t>
        </is>
      </c>
      <c r="F55" s="23" t="inlineStr">
        <is>
          <t>https://www.instagram.com/reel/CuZJxV6utQO/?igshid=Y2I2MzMwZWM3ZA==</t>
        </is>
      </c>
      <c r="G55" s="28">
        <f>IF(AND(ISNUMBER(SEARCH("Breakfast",$C55)),$D55="Asian"),RAND(),"")</f>
        <v/>
      </c>
      <c r="H55" s="28">
        <f>IF(AND(ISNUMBER(SEARCH("Breakfast",$C55)),$D55="Chinese"),RAND(),"")</f>
        <v/>
      </c>
      <c r="I55" s="28">
        <f>IF(AND(ISNUMBER(SEARCH("Breakfast",$C55)),$D55="Western"),RAND(),"")</f>
        <v/>
      </c>
      <c r="J55" s="28">
        <f>IF(AND(ISNUMBER(SEARCH("Lunch",$C55)),$D55="Asian"),RAND(),"")</f>
        <v/>
      </c>
      <c r="K55" s="28">
        <f>IF(AND(ISNUMBER(SEARCH("Lunch",$C55)),$D55="Chinese"),RAND(),"")</f>
        <v/>
      </c>
      <c r="L55" s="28">
        <f>IF(AND(ISNUMBER(SEARCH("Lunch",$C55)),$D55="Western"),RAND(),"")</f>
        <v/>
      </c>
      <c r="M55" s="28">
        <f>IF(AND(ISNUMBER(SEARCH("Dinner",$C55)),$D55="Asian"),RAND(),"")</f>
        <v/>
      </c>
      <c r="N55" s="28">
        <f>IF(AND(ISNUMBER(SEARCH("Dinner",$C55)),$D55="Chinese"),RAND(),"")</f>
        <v/>
      </c>
      <c r="O55" s="28">
        <f>IF(AND(ISNUMBER(SEARCH("Dinner",$C55)),$D55="Western"),RAND(),"")</f>
        <v/>
      </c>
    </row>
    <row r="56" ht="15.75" customHeight="1" s="36">
      <c r="A56" s="18" t="inlineStr">
        <is>
          <t>Braised pumpkin with honey</t>
        </is>
      </c>
      <c r="B56" s="18" t="inlineStr">
        <is>
          <t>Pumpkin, Onion, Soy sauce, Garlic, Butter, Honey</t>
        </is>
      </c>
      <c r="C56" s="17" t="inlineStr">
        <is>
          <t>Dinner</t>
        </is>
      </c>
      <c r="D56" s="26" t="inlineStr">
        <is>
          <t>Chinese</t>
        </is>
      </c>
      <c r="E56" s="17" t="inlineStr">
        <is>
          <t>Med</t>
        </is>
      </c>
      <c r="F56" s="19" t="inlineStr">
        <is>
          <t>https://www.instagram.com/reel/DPjMTPmElwi/?igsh=a3RzZDRscm03dXV2</t>
        </is>
      </c>
      <c r="G56" s="27">
        <f>IF(AND(ISNUMBER(SEARCH("Breakfast",$C56)),$D56="Asian"),RAND(),"")</f>
        <v/>
      </c>
      <c r="H56" s="27">
        <f>IF(AND(ISNUMBER(SEARCH("Breakfast",$C56)),$D56="Chinese"),RAND(),"")</f>
        <v/>
      </c>
      <c r="I56" s="27">
        <f>IF(AND(ISNUMBER(SEARCH("Breakfast",$C56)),$D56="Western"),RAND(),"")</f>
        <v/>
      </c>
      <c r="J56" s="27">
        <f>IF(AND(ISNUMBER(SEARCH("Lunch",$C56)),$D56="Asian"),RAND(),"")</f>
        <v/>
      </c>
      <c r="K56" s="27">
        <f>IF(AND(ISNUMBER(SEARCH("Lunch",$C56)),$D56="Chinese"),RAND(),"")</f>
        <v/>
      </c>
      <c r="L56" s="27">
        <f>IF(AND(ISNUMBER(SEARCH("Lunch",$C56)),$D56="Western"),RAND(),"")</f>
        <v/>
      </c>
      <c r="M56" s="27">
        <f>IF(AND(ISNUMBER(SEARCH("Dinner",$C56)),$D56="Asian"),RAND(),"")</f>
        <v/>
      </c>
      <c r="N56" s="27">
        <f>IF(AND(ISNUMBER(SEARCH("Dinner",$C56)),$D56="Chinese"),RAND(),"")</f>
        <v/>
      </c>
      <c r="O56" s="27">
        <f>IF(AND(ISNUMBER(SEARCH("Dinner",$C56)),$D56="Western"),RAND(),"")</f>
        <v/>
      </c>
    </row>
    <row r="57" ht="15.75" customHeight="1" s="36">
      <c r="A57" s="22" t="inlineStr">
        <is>
          <t>Bread</t>
        </is>
      </c>
      <c r="B57" s="22" t="inlineStr">
        <is>
          <t>Garlic, Olive Oil, Flour, Salt, Yeast</t>
        </is>
      </c>
      <c r="C57" s="21" t="inlineStr">
        <is>
          <t>Breakfast, Lunch</t>
        </is>
      </c>
      <c r="D57" s="30" t="inlineStr">
        <is>
          <t>Western</t>
        </is>
      </c>
      <c r="E57" s="21" t="inlineStr">
        <is>
          <t>Low</t>
        </is>
      </c>
      <c r="F57" s="23" t="inlineStr">
        <is>
          <t>https://www.instagram.com/reel/C58lXdlgEhw/?igsh=bnZyODJ4aWFwNXNx</t>
        </is>
      </c>
      <c r="G57" s="28">
        <f>IF(AND(ISNUMBER(SEARCH("Breakfast",$C57)),$D57="Asian"),RAND(),"")</f>
        <v/>
      </c>
      <c r="H57" s="28">
        <f>IF(AND(ISNUMBER(SEARCH("Breakfast",$C57)),$D57="Chinese"),RAND(),"")</f>
        <v/>
      </c>
      <c r="I57" s="28">
        <f>IF(AND(ISNUMBER(SEARCH("Breakfast",$C57)),$D57="Western"),RAND(),"")</f>
        <v/>
      </c>
      <c r="J57" s="28">
        <f>IF(AND(ISNUMBER(SEARCH("Lunch",$C57)),$D57="Asian"),RAND(),"")</f>
        <v/>
      </c>
      <c r="K57" s="28">
        <f>IF(AND(ISNUMBER(SEARCH("Lunch",$C57)),$D57="Chinese"),RAND(),"")</f>
        <v/>
      </c>
      <c r="L57" s="28">
        <f>IF(AND(ISNUMBER(SEARCH("Lunch",$C57)),$D57="Western"),RAND(),"")</f>
        <v/>
      </c>
      <c r="M57" s="28">
        <f>IF(AND(ISNUMBER(SEARCH("Dinner",$C57)),$D57="Asian"),RAND(),"")</f>
        <v/>
      </c>
      <c r="N57" s="28">
        <f>IF(AND(ISNUMBER(SEARCH("Dinner",$C57)),$D57="Chinese"),RAND(),"")</f>
        <v/>
      </c>
      <c r="O57" s="28">
        <f>IF(AND(ISNUMBER(SEARCH("Dinner",$C57)),$D57="Western"),RAND(),"")</f>
        <v/>
      </c>
    </row>
    <row r="58" ht="15.75" customHeight="1" s="36">
      <c r="A58" s="18" t="inlineStr">
        <is>
          <t>Broccoli</t>
        </is>
      </c>
      <c r="B58" s="18" t="inlineStr">
        <is>
          <t>Scallops, Abalone Sauce, Oyster Sauce, Soy Sauce, Hua Tiao Wine, Sugar, Corn Starch</t>
        </is>
      </c>
      <c r="C58" s="17" t="inlineStr">
        <is>
          <t>Dinner</t>
        </is>
      </c>
      <c r="D58" s="26" t="inlineStr">
        <is>
          <t>Chinese</t>
        </is>
      </c>
      <c r="E58" s="17" t="inlineStr">
        <is>
          <t>High</t>
        </is>
      </c>
      <c r="F58" s="19" t="inlineStr">
        <is>
          <t>https://youtu.be/JpU_F1oFeyw</t>
        </is>
      </c>
      <c r="G58" s="27">
        <f>IF(AND(ISNUMBER(SEARCH("Breakfast",$C58)),$D58="Asian"),RAND(),"")</f>
        <v/>
      </c>
      <c r="H58" s="27">
        <f>IF(AND(ISNUMBER(SEARCH("Breakfast",$C58)),$D58="Chinese"),RAND(),"")</f>
        <v/>
      </c>
      <c r="I58" s="27">
        <f>IF(AND(ISNUMBER(SEARCH("Breakfast",$C58)),$D58="Western"),RAND(),"")</f>
        <v/>
      </c>
      <c r="J58" s="27">
        <f>IF(AND(ISNUMBER(SEARCH("Lunch",$C58)),$D58="Asian"),RAND(),"")</f>
        <v/>
      </c>
      <c r="K58" s="27">
        <f>IF(AND(ISNUMBER(SEARCH("Lunch",$C58)),$D58="Chinese"),RAND(),"")</f>
        <v/>
      </c>
      <c r="L58" s="27">
        <f>IF(AND(ISNUMBER(SEARCH("Lunch",$C58)),$D58="Western"),RAND(),"")</f>
        <v/>
      </c>
      <c r="M58" s="27">
        <f>IF(AND(ISNUMBER(SEARCH("Dinner",$C58)),$D58="Asian"),RAND(),"")</f>
        <v/>
      </c>
      <c r="N58" s="27">
        <f>IF(AND(ISNUMBER(SEARCH("Dinner",$C58)),$D58="Chinese"),RAND(),"")</f>
        <v/>
      </c>
      <c r="O58" s="27">
        <f>IF(AND(ISNUMBER(SEARCH("Dinner",$C58)),$D58="Western"),RAND(),"")</f>
        <v/>
      </c>
    </row>
    <row r="59" ht="15.75" customHeight="1" s="36">
      <c r="A59" s="22" t="inlineStr">
        <is>
          <t>Broccoli Salad</t>
        </is>
      </c>
      <c r="B59" s="22" t="inlineStr">
        <is>
          <t>Brocoli, Egg, Sesame Seed, Yoghurt, Honey, mayo, Salt, Pepper</t>
        </is>
      </c>
      <c r="C59" s="21" t="inlineStr">
        <is>
          <t>Dinner</t>
        </is>
      </c>
      <c r="D59" s="30" t="inlineStr">
        <is>
          <t>Western</t>
        </is>
      </c>
      <c r="E59" s="21" t="inlineStr">
        <is>
          <t>Med</t>
        </is>
      </c>
      <c r="F59" s="23" t="inlineStr">
        <is>
          <t>https://www.instagram.com/reel/DQba16Sga19/?igsh=OW01ajR1Mnd1bWRo</t>
        </is>
      </c>
      <c r="G59" s="28">
        <f>IF(AND(ISNUMBER(SEARCH("Breakfast",$C59)),$D59="Asian"),RAND(),"")</f>
        <v/>
      </c>
      <c r="H59" s="28">
        <f>IF(AND(ISNUMBER(SEARCH("Breakfast",$C59)),$D59="Chinese"),RAND(),"")</f>
        <v/>
      </c>
      <c r="I59" s="28">
        <f>IF(AND(ISNUMBER(SEARCH("Breakfast",$C59)),$D59="Western"),RAND(),"")</f>
        <v/>
      </c>
      <c r="J59" s="28">
        <f>IF(AND(ISNUMBER(SEARCH("Lunch",$C59)),$D59="Asian"),RAND(),"")</f>
        <v/>
      </c>
      <c r="K59" s="28">
        <f>IF(AND(ISNUMBER(SEARCH("Lunch",$C59)),$D59="Chinese"),RAND(),"")</f>
        <v/>
      </c>
      <c r="L59" s="28">
        <f>IF(AND(ISNUMBER(SEARCH("Lunch",$C59)),$D59="Western"),RAND(),"")</f>
        <v/>
      </c>
      <c r="M59" s="28">
        <f>IF(AND(ISNUMBER(SEARCH("Dinner",$C59)),$D59="Asian"),RAND(),"")</f>
        <v/>
      </c>
      <c r="N59" s="28">
        <f>IF(AND(ISNUMBER(SEARCH("Dinner",$C59)),$D59="Chinese"),RAND(),"")</f>
        <v/>
      </c>
      <c r="O59" s="28">
        <f>IF(AND(ISNUMBER(SEARCH("Dinner",$C59)),$D59="Western"),RAND(),"")</f>
        <v/>
      </c>
    </row>
    <row r="60" ht="15.75" customHeight="1" s="36">
      <c r="A60" s="18" t="inlineStr">
        <is>
          <t>Brownies</t>
        </is>
      </c>
      <c r="B60" s="18" t="inlineStr">
        <is>
          <t>Flour, Tapioca Glour, Sugar, Butter, Eggs, Vanilla Extract, Chocolate, Baking Powder, Salt</t>
        </is>
      </c>
      <c r="C60" s="17" t="inlineStr">
        <is>
          <t>Lunch</t>
        </is>
      </c>
      <c r="D60" s="30" t="inlineStr">
        <is>
          <t>Western</t>
        </is>
      </c>
      <c r="E60" s="17" t="inlineStr">
        <is>
          <t>Med</t>
        </is>
      </c>
      <c r="F60" s="19" t="inlineStr">
        <is>
          <t>https://somethingnutritiousblog.com/gluten-free-brown-butter-chocolate-chip-cookies/</t>
        </is>
      </c>
      <c r="G60" s="27">
        <f>IF(AND(ISNUMBER(SEARCH("Breakfast",$C60)),$D60="Asian"),RAND(),"")</f>
        <v/>
      </c>
      <c r="H60" s="27">
        <f>IF(AND(ISNUMBER(SEARCH("Breakfast",$C60)),$D60="Chinese"),RAND(),"")</f>
        <v/>
      </c>
      <c r="I60" s="27">
        <f>IF(AND(ISNUMBER(SEARCH("Breakfast",$C60)),$D60="Western"),RAND(),"")</f>
        <v/>
      </c>
      <c r="J60" s="27">
        <f>IF(AND(ISNUMBER(SEARCH("Lunch",$C60)),$D60="Asian"),RAND(),"")</f>
        <v/>
      </c>
      <c r="K60" s="27">
        <f>IF(AND(ISNUMBER(SEARCH("Lunch",$C60)),$D60="Chinese"),RAND(),"")</f>
        <v/>
      </c>
      <c r="L60" s="27">
        <f>IF(AND(ISNUMBER(SEARCH("Lunch",$C60)),$D60="Western"),RAND(),"")</f>
        <v/>
      </c>
      <c r="M60" s="27">
        <f>IF(AND(ISNUMBER(SEARCH("Dinner",$C60)),$D60="Asian"),RAND(),"")</f>
        <v/>
      </c>
      <c r="N60" s="27">
        <f>IF(AND(ISNUMBER(SEARCH("Dinner",$C60)),$D60="Chinese"),RAND(),"")</f>
        <v/>
      </c>
      <c r="O60" s="27">
        <f>IF(AND(ISNUMBER(SEARCH("Dinner",$C60)),$D60="Western"),RAND(),"")</f>
        <v/>
      </c>
    </row>
    <row r="61" ht="15.75" customHeight="1" s="36">
      <c r="A61" s="22" t="inlineStr">
        <is>
          <t>Butter Garlic Prawns</t>
        </is>
      </c>
      <c r="B61" s="22" t="inlineStr">
        <is>
          <t>Prawns, Butter, Garlic, Black Pepper</t>
        </is>
      </c>
      <c r="C61" s="21" t="inlineStr">
        <is>
          <t>Dinner</t>
        </is>
      </c>
      <c r="D61" s="26" t="inlineStr">
        <is>
          <t>Chinese</t>
        </is>
      </c>
      <c r="E61" s="21" t="inlineStr">
        <is>
          <t>Low</t>
        </is>
      </c>
      <c r="F61" s="23" t="inlineStr">
        <is>
          <t>https://www.instagram.com/reel/DQ8FlEikooC/?igsh=MXNtN3l3b3MxNXo4Yg==</t>
        </is>
      </c>
      <c r="G61" s="28">
        <f>IF(AND(ISNUMBER(SEARCH("Breakfast",$C61)),$D61="Asian"),RAND(),"")</f>
        <v/>
      </c>
      <c r="H61" s="28">
        <f>IF(AND(ISNUMBER(SEARCH("Breakfast",$C61)),$D61="Chinese"),RAND(),"")</f>
        <v/>
      </c>
      <c r="I61" s="28">
        <f>IF(AND(ISNUMBER(SEARCH("Breakfast",$C61)),$D61="Western"),RAND(),"")</f>
        <v/>
      </c>
      <c r="J61" s="28">
        <f>IF(AND(ISNUMBER(SEARCH("Lunch",$C61)),$D61="Asian"),RAND(),"")</f>
        <v/>
      </c>
      <c r="K61" s="28">
        <f>IF(AND(ISNUMBER(SEARCH("Lunch",$C61)),$D61="Chinese"),RAND(),"")</f>
        <v/>
      </c>
      <c r="L61" s="28">
        <f>IF(AND(ISNUMBER(SEARCH("Lunch",$C61)),$D61="Western"),RAND(),"")</f>
        <v/>
      </c>
      <c r="M61" s="28">
        <f>IF(AND(ISNUMBER(SEARCH("Dinner",$C61)),$D61="Asian"),RAND(),"")</f>
        <v/>
      </c>
      <c r="N61" s="28">
        <f>IF(AND(ISNUMBER(SEARCH("Dinner",$C61)),$D61="Chinese"),RAND(),"")</f>
        <v/>
      </c>
      <c r="O61" s="28">
        <f>IF(AND(ISNUMBER(SEARCH("Dinner",$C61)),$D61="Western"),RAND(),"")</f>
        <v/>
      </c>
    </row>
    <row r="62" ht="15.75" customHeight="1" s="36">
      <c r="A62" s="18" t="inlineStr">
        <is>
          <t>Butter Tofu</t>
        </is>
      </c>
      <c r="B62" s="18" t="inlineStr">
        <is>
          <t>Hard Tofu, Tomato, Onion, Garlic, Cashews, Ground Cumin, Ground Coriander, Graham Masala, Cooking Cream, butter</t>
        </is>
      </c>
      <c r="C62" s="17" t="inlineStr">
        <is>
          <t>Dinner</t>
        </is>
      </c>
      <c r="D62" s="29" t="inlineStr">
        <is>
          <t>Asian</t>
        </is>
      </c>
      <c r="E62" s="17" t="inlineStr">
        <is>
          <t>Low</t>
        </is>
      </c>
      <c r="F62" s="19" t="inlineStr">
        <is>
          <t>https://www.instagram.com/reel/C3YB-rSK_ax/?igsh=bHA4NXQ4b2Iya2pm</t>
        </is>
      </c>
      <c r="G62" s="27">
        <f>IF(AND(ISNUMBER(SEARCH("Breakfast",$C62)),$D62="Asian"),RAND(),"")</f>
        <v/>
      </c>
      <c r="H62" s="27">
        <f>IF(AND(ISNUMBER(SEARCH("Breakfast",$C62)),$D62="Chinese"),RAND(),"")</f>
        <v/>
      </c>
      <c r="I62" s="27">
        <f>IF(AND(ISNUMBER(SEARCH("Breakfast",$C62)),$D62="Western"),RAND(),"")</f>
        <v/>
      </c>
      <c r="J62" s="27">
        <f>IF(AND(ISNUMBER(SEARCH("Lunch",$C62)),$D62="Asian"),RAND(),"")</f>
        <v/>
      </c>
      <c r="K62" s="27">
        <f>IF(AND(ISNUMBER(SEARCH("Lunch",$C62)),$D62="Chinese"),RAND(),"")</f>
        <v/>
      </c>
      <c r="L62" s="27">
        <f>IF(AND(ISNUMBER(SEARCH("Lunch",$C62)),$D62="Western"),RAND(),"")</f>
        <v/>
      </c>
      <c r="M62" s="27">
        <f>IF(AND(ISNUMBER(SEARCH("Dinner",$C62)),$D62="Asian"),RAND(),"")</f>
        <v/>
      </c>
      <c r="N62" s="27">
        <f>IF(AND(ISNUMBER(SEARCH("Dinner",$C62)),$D62="Chinese"),RAND(),"")</f>
        <v/>
      </c>
      <c r="O62" s="27">
        <f>IF(AND(ISNUMBER(SEARCH("Dinner",$C62)),$D62="Western"),RAND(),"")</f>
        <v/>
      </c>
    </row>
    <row r="63" ht="15.75" customHeight="1" s="36">
      <c r="A63" s="22" t="inlineStr">
        <is>
          <t>Butternut Squash Risotto</t>
        </is>
      </c>
      <c r="B63" s="22" t="inlineStr">
        <is>
          <t>Butternut squash, Leeks, Garlic, Sage leaves, Rice, Dry white wine, Vegetable broth, Nutmeg, Baby spinach</t>
        </is>
      </c>
      <c r="C63" s="21" t="inlineStr">
        <is>
          <t>Lunch</t>
        </is>
      </c>
      <c r="D63" s="30" t="inlineStr">
        <is>
          <t>Western</t>
        </is>
      </c>
      <c r="E63" s="21" t="inlineStr">
        <is>
          <t>Med</t>
        </is>
      </c>
      <c r="F63" s="23" t="inlineStr">
        <is>
          <t>https://www.feastingathome.com/instant-pot-butternut-risotto-with-leeks/</t>
        </is>
      </c>
      <c r="G63" s="28">
        <f>IF(AND(ISNUMBER(SEARCH("Breakfast",$C63)),$D63="Asian"),RAND(),"")</f>
        <v/>
      </c>
      <c r="H63" s="28">
        <f>IF(AND(ISNUMBER(SEARCH("Breakfast",$C63)),$D63="Chinese"),RAND(),"")</f>
        <v/>
      </c>
      <c r="I63" s="28">
        <f>IF(AND(ISNUMBER(SEARCH("Breakfast",$C63)),$D63="Western"),RAND(),"")</f>
        <v/>
      </c>
      <c r="J63" s="28">
        <f>IF(AND(ISNUMBER(SEARCH("Lunch",$C63)),$D63="Asian"),RAND(),"")</f>
        <v/>
      </c>
      <c r="K63" s="28">
        <f>IF(AND(ISNUMBER(SEARCH("Lunch",$C63)),$D63="Chinese"),RAND(),"")</f>
        <v/>
      </c>
      <c r="L63" s="28">
        <f>IF(AND(ISNUMBER(SEARCH("Lunch",$C63)),$D63="Western"),RAND(),"")</f>
        <v/>
      </c>
      <c r="M63" s="28">
        <f>IF(AND(ISNUMBER(SEARCH("Dinner",$C63)),$D63="Asian"),RAND(),"")</f>
        <v/>
      </c>
      <c r="N63" s="28">
        <f>IF(AND(ISNUMBER(SEARCH("Dinner",$C63)),$D63="Chinese"),RAND(),"")</f>
        <v/>
      </c>
      <c r="O63" s="28">
        <f>IF(AND(ISNUMBER(SEARCH("Dinner",$C63)),$D63="Western"),RAND(),"")</f>
        <v/>
      </c>
    </row>
    <row r="64" ht="15.75" customHeight="1" s="36">
      <c r="A64" s="18" t="inlineStr">
        <is>
          <t>Cabbage Pork</t>
        </is>
      </c>
      <c r="B64" s="18" t="inlineStr">
        <is>
          <t>Cabbage, Enoki Mushroom, Pork Slices, Soy Sauce, Vinegar</t>
        </is>
      </c>
      <c r="C64" s="17" t="inlineStr">
        <is>
          <t>Dinner</t>
        </is>
      </c>
      <c r="D64" s="29" t="inlineStr">
        <is>
          <t>Asian</t>
        </is>
      </c>
      <c r="E64" s="17" t="inlineStr">
        <is>
          <t>Low</t>
        </is>
      </c>
      <c r="F64" s="19" t="inlineStr">
        <is>
          <t>https://www.instagram.com/reel/C7HIkeNh1jT/?igsh=bW1lMWVpaGhqcHli</t>
        </is>
      </c>
      <c r="G64" s="27">
        <f>IF(AND(ISNUMBER(SEARCH("Breakfast",$C64)),$D64="Asian"),RAND(),"")</f>
        <v/>
      </c>
      <c r="H64" s="27">
        <f>IF(AND(ISNUMBER(SEARCH("Breakfast",$C64)),$D64="Chinese"),RAND(),"")</f>
        <v/>
      </c>
      <c r="I64" s="27">
        <f>IF(AND(ISNUMBER(SEARCH("Breakfast",$C64)),$D64="Western"),RAND(),"")</f>
        <v/>
      </c>
      <c r="J64" s="27">
        <f>IF(AND(ISNUMBER(SEARCH("Lunch",$C64)),$D64="Asian"),RAND(),"")</f>
        <v/>
      </c>
      <c r="K64" s="27">
        <f>IF(AND(ISNUMBER(SEARCH("Lunch",$C64)),$D64="Chinese"),RAND(),"")</f>
        <v/>
      </c>
      <c r="L64" s="27">
        <f>IF(AND(ISNUMBER(SEARCH("Lunch",$C64)),$D64="Western"),RAND(),"")</f>
        <v/>
      </c>
      <c r="M64" s="27">
        <f>IF(AND(ISNUMBER(SEARCH("Dinner",$C64)),$D64="Asian"),RAND(),"")</f>
        <v/>
      </c>
      <c r="N64" s="27">
        <f>IF(AND(ISNUMBER(SEARCH("Dinner",$C64)),$D64="Chinese"),RAND(),"")</f>
        <v/>
      </c>
      <c r="O64" s="27">
        <f>IF(AND(ISNUMBER(SEARCH("Dinner",$C64)),$D64="Western"),RAND(),"")</f>
        <v/>
      </c>
    </row>
    <row r="65" ht="15.75" customHeight="1" s="36">
      <c r="A65" s="22" t="inlineStr">
        <is>
          <t>Cabbage Soup</t>
        </is>
      </c>
      <c r="B65" s="22" t="inlineStr">
        <is>
          <t>Wawacai, Ginger, Goji berry</t>
        </is>
      </c>
      <c r="C65" s="21" t="inlineStr">
        <is>
          <t>Dinner</t>
        </is>
      </c>
      <c r="D65" s="26" t="inlineStr">
        <is>
          <t>Chinese</t>
        </is>
      </c>
      <c r="E65" s="21" t="inlineStr">
        <is>
          <t>High</t>
        </is>
      </c>
      <c r="F65" s="22" t="n"/>
      <c r="G65" s="28">
        <f>IF(AND(ISNUMBER(SEARCH("Breakfast",$C65)),$D65="Asian"),RAND(),"")</f>
        <v/>
      </c>
      <c r="H65" s="28">
        <f>IF(AND(ISNUMBER(SEARCH("Breakfast",$C65)),$D65="Chinese"),RAND(),"")</f>
        <v/>
      </c>
      <c r="I65" s="28">
        <f>IF(AND(ISNUMBER(SEARCH("Breakfast",$C65)),$D65="Western"),RAND(),"")</f>
        <v/>
      </c>
      <c r="J65" s="28">
        <f>IF(AND(ISNUMBER(SEARCH("Lunch",$C65)),$D65="Asian"),RAND(),"")</f>
        <v/>
      </c>
      <c r="K65" s="28">
        <f>IF(AND(ISNUMBER(SEARCH("Lunch",$C65)),$D65="Chinese"),RAND(),"")</f>
        <v/>
      </c>
      <c r="L65" s="28">
        <f>IF(AND(ISNUMBER(SEARCH("Lunch",$C65)),$D65="Western"),RAND(),"")</f>
        <v/>
      </c>
      <c r="M65" s="28">
        <f>IF(AND(ISNUMBER(SEARCH("Dinner",$C65)),$D65="Asian"),RAND(),"")</f>
        <v/>
      </c>
      <c r="N65" s="28">
        <f>IF(AND(ISNUMBER(SEARCH("Dinner",$C65)),$D65="Chinese"),RAND(),"")</f>
        <v/>
      </c>
      <c r="O65" s="28">
        <f>IF(AND(ISNUMBER(SEARCH("Dinner",$C65)),$D65="Western"),RAND(),"")</f>
        <v/>
      </c>
      <c r="P65" s="0" t="b">
        <v>1</v>
      </c>
    </row>
    <row r="66" ht="15.75" customHeight="1" s="36">
      <c r="A66" s="18" t="inlineStr">
        <is>
          <t>Cabbage Steak</t>
        </is>
      </c>
      <c r="B66" s="18" t="inlineStr">
        <is>
          <t>Cabbage, Olive Oil, Paprika</t>
        </is>
      </c>
      <c r="C66" s="17" t="inlineStr">
        <is>
          <t>Dinner</t>
        </is>
      </c>
      <c r="D66" s="30" t="inlineStr">
        <is>
          <t>Western</t>
        </is>
      </c>
      <c r="E66" s="17" t="inlineStr">
        <is>
          <t>Med</t>
        </is>
      </c>
      <c r="F66" s="19" t="inlineStr">
        <is>
          <t>https://www.instagram.com/reel/Cp9lfkrsEId/?igshid=MzRlODBiNWFlZA==</t>
        </is>
      </c>
      <c r="G66" s="27">
        <f>IF(AND(ISNUMBER(SEARCH("Breakfast",$C66)),$D66="Asian"),RAND(),"")</f>
        <v/>
      </c>
      <c r="H66" s="27">
        <f>IF(AND(ISNUMBER(SEARCH("Breakfast",$C66)),$D66="Chinese"),RAND(),"")</f>
        <v/>
      </c>
      <c r="I66" s="27">
        <f>IF(AND(ISNUMBER(SEARCH("Breakfast",$C66)),$D66="Western"),RAND(),"")</f>
        <v/>
      </c>
      <c r="J66" s="27">
        <f>IF(AND(ISNUMBER(SEARCH("Lunch",$C66)),$D66="Asian"),RAND(),"")</f>
        <v/>
      </c>
      <c r="K66" s="27">
        <f>IF(AND(ISNUMBER(SEARCH("Lunch",$C66)),$D66="Chinese"),RAND(),"")</f>
        <v/>
      </c>
      <c r="L66" s="27">
        <f>IF(AND(ISNUMBER(SEARCH("Lunch",$C66)),$D66="Western"),RAND(),"")</f>
        <v/>
      </c>
      <c r="M66" s="27">
        <f>IF(AND(ISNUMBER(SEARCH("Dinner",$C66)),$D66="Asian"),RAND(),"")</f>
        <v/>
      </c>
      <c r="N66" s="27">
        <f>IF(AND(ISNUMBER(SEARCH("Dinner",$C66)),$D66="Chinese"),RAND(),"")</f>
        <v/>
      </c>
      <c r="O66" s="27">
        <f>IF(AND(ISNUMBER(SEARCH("Dinner",$C66)),$D66="Western"),RAND(),"")</f>
        <v/>
      </c>
    </row>
    <row r="67" ht="15.75" customHeight="1" s="36">
      <c r="A67" s="22" t="inlineStr">
        <is>
          <t>Cai Xin</t>
        </is>
      </c>
      <c r="B67" s="22" t="inlineStr">
        <is>
          <t>—</t>
        </is>
      </c>
      <c r="C67" s="21" t="inlineStr">
        <is>
          <t>Dinner</t>
        </is>
      </c>
      <c r="D67" s="26" t="inlineStr">
        <is>
          <t>Chinese</t>
        </is>
      </c>
      <c r="E67" s="21" t="inlineStr">
        <is>
          <t>Low</t>
        </is>
      </c>
      <c r="F67" s="22" t="n"/>
      <c r="G67" s="28">
        <f>IF(AND(ISNUMBER(SEARCH("Breakfast",$C67)),$D67="Asian"),RAND(),"")</f>
        <v/>
      </c>
      <c r="H67" s="28">
        <f>IF(AND(ISNUMBER(SEARCH("Breakfast",$C67)),$D67="Chinese"),RAND(),"")</f>
        <v/>
      </c>
      <c r="I67" s="28">
        <f>IF(AND(ISNUMBER(SEARCH("Breakfast",$C67)),$D67="Western"),RAND(),"")</f>
        <v/>
      </c>
      <c r="J67" s="28">
        <f>IF(AND(ISNUMBER(SEARCH("Lunch",$C67)),$D67="Asian"),RAND(),"")</f>
        <v/>
      </c>
      <c r="K67" s="28">
        <f>IF(AND(ISNUMBER(SEARCH("Lunch",$C67)),$D67="Chinese"),RAND(),"")</f>
        <v/>
      </c>
      <c r="L67" s="28">
        <f>IF(AND(ISNUMBER(SEARCH("Lunch",$C67)),$D67="Western"),RAND(),"")</f>
        <v/>
      </c>
      <c r="M67" s="28">
        <f>IF(AND(ISNUMBER(SEARCH("Dinner",$C67)),$D67="Asian"),RAND(),"")</f>
        <v/>
      </c>
      <c r="N67" s="28">
        <f>IF(AND(ISNUMBER(SEARCH("Dinner",$C67)),$D67="Chinese"),RAND(),"")</f>
        <v/>
      </c>
      <c r="O67" s="28">
        <f>IF(AND(ISNUMBER(SEARCH("Dinner",$C67)),$D67="Western"),RAND(),"")</f>
        <v/>
      </c>
    </row>
    <row r="68" ht="15.75" customHeight="1" s="36">
      <c r="A68" s="18" t="inlineStr">
        <is>
          <t>Caipoh Kway Teoh</t>
        </is>
      </c>
      <c r="B68" s="18" t="inlineStr">
        <is>
          <t>Baby Kai lan, Kway Teow, Fish Sauce, Black Pepper, Soy Sauce, Cai Poh</t>
        </is>
      </c>
      <c r="C68" s="17" t="inlineStr">
        <is>
          <t>Lunch</t>
        </is>
      </c>
      <c r="D68" s="26" t="inlineStr">
        <is>
          <t>Chinese</t>
        </is>
      </c>
      <c r="E68" s="17" t="inlineStr">
        <is>
          <t>Med</t>
        </is>
      </c>
      <c r="F68" s="19" t="inlineStr">
        <is>
          <t>https://www.instagram.com/reel/DHH6Tv1yt_3/?igsh=MWZ2eWxoaWFuZzk1YQ==</t>
        </is>
      </c>
      <c r="G68" s="27">
        <f>IF(AND(ISNUMBER(SEARCH("Breakfast",$C68)),$D68="Asian"),RAND(),"")</f>
        <v/>
      </c>
      <c r="H68" s="27">
        <f>IF(AND(ISNUMBER(SEARCH("Breakfast",$C68)),$D68="Chinese"),RAND(),"")</f>
        <v/>
      </c>
      <c r="I68" s="27">
        <f>IF(AND(ISNUMBER(SEARCH("Breakfast",$C68)),$D68="Western"),RAND(),"")</f>
        <v/>
      </c>
      <c r="J68" s="27">
        <f>IF(AND(ISNUMBER(SEARCH("Lunch",$C68)),$D68="Asian"),RAND(),"")</f>
        <v/>
      </c>
      <c r="K68" s="27">
        <f>IF(AND(ISNUMBER(SEARCH("Lunch",$C68)),$D68="Chinese"),RAND(),"")</f>
        <v/>
      </c>
      <c r="L68" s="27">
        <f>IF(AND(ISNUMBER(SEARCH("Lunch",$C68)),$D68="Western"),RAND(),"")</f>
        <v/>
      </c>
      <c r="M68" s="27">
        <f>IF(AND(ISNUMBER(SEARCH("Dinner",$C68)),$D68="Asian"),RAND(),"")</f>
        <v/>
      </c>
      <c r="N68" s="27">
        <f>IF(AND(ISNUMBER(SEARCH("Dinner",$C68)),$D68="Chinese"),RAND(),"")</f>
        <v/>
      </c>
      <c r="O68" s="27">
        <f>IF(AND(ISNUMBER(SEARCH("Dinner",$C68)),$D68="Western"),RAND(),"")</f>
        <v/>
      </c>
    </row>
    <row r="69" ht="15.75" customHeight="1" s="36">
      <c r="A69" s="22" t="inlineStr">
        <is>
          <t>Caldo Verde</t>
        </is>
      </c>
      <c r="B69" s="22" t="inlineStr">
        <is>
          <t>Chorizo, Onion, Garlic, Potatoes, Chicken Stock, Kale</t>
        </is>
      </c>
      <c r="C69" s="21" t="inlineStr">
        <is>
          <t>Dinner</t>
        </is>
      </c>
      <c r="D69" s="30" t="inlineStr">
        <is>
          <t>Western</t>
        </is>
      </c>
      <c r="E69" s="21" t="inlineStr">
        <is>
          <t>Low</t>
        </is>
      </c>
      <c r="F69" s="23" t="inlineStr">
        <is>
          <t>https://leitesculinaria.com/7580/recipes-portuguese-kale-soup-caldo-verde.html</t>
        </is>
      </c>
      <c r="G69" s="28">
        <f>IF(AND(ISNUMBER(SEARCH("Breakfast",$C69)),$D69="Asian"),RAND(),"")</f>
        <v/>
      </c>
      <c r="H69" s="28">
        <f>IF(AND(ISNUMBER(SEARCH("Breakfast",$C69)),$D69="Chinese"),RAND(),"")</f>
        <v/>
      </c>
      <c r="I69" s="28">
        <f>IF(AND(ISNUMBER(SEARCH("Breakfast",$C69)),$D69="Western"),RAND(),"")</f>
        <v/>
      </c>
      <c r="J69" s="28">
        <f>IF(AND(ISNUMBER(SEARCH("Lunch",$C69)),$D69="Asian"),RAND(),"")</f>
        <v/>
      </c>
      <c r="K69" s="28">
        <f>IF(AND(ISNUMBER(SEARCH("Lunch",$C69)),$D69="Chinese"),RAND(),"")</f>
        <v/>
      </c>
      <c r="L69" s="28">
        <f>IF(AND(ISNUMBER(SEARCH("Lunch",$C69)),$D69="Western"),RAND(),"")</f>
        <v/>
      </c>
      <c r="M69" s="28">
        <f>IF(AND(ISNUMBER(SEARCH("Dinner",$C69)),$D69="Asian"),RAND(),"")</f>
        <v/>
      </c>
      <c r="N69" s="28">
        <f>IF(AND(ISNUMBER(SEARCH("Dinner",$C69)),$D69="Chinese"),RAND(),"")</f>
        <v/>
      </c>
      <c r="O69" s="28">
        <f>IF(AND(ISNUMBER(SEARCH("Dinner",$C69)),$D69="Western"),RAND(),"")</f>
        <v/>
      </c>
    </row>
    <row r="70" ht="15.75" customHeight="1" s="36">
      <c r="A70" s="18" t="inlineStr">
        <is>
          <t>Campbell Soup</t>
        </is>
      </c>
      <c r="B70" s="18" t="inlineStr">
        <is>
          <t>—</t>
        </is>
      </c>
      <c r="C70" s="17" t="inlineStr">
        <is>
          <t>Dinner, Lunch</t>
        </is>
      </c>
      <c r="D70" s="30" t="inlineStr">
        <is>
          <t>Western</t>
        </is>
      </c>
      <c r="E70" s="17" t="inlineStr">
        <is>
          <t>Low</t>
        </is>
      </c>
      <c r="F70" s="18" t="n"/>
      <c r="G70" s="27">
        <f>IF(AND(ISNUMBER(SEARCH("Breakfast",$C70)),$D70="Asian"),RAND(),"")</f>
        <v/>
      </c>
      <c r="H70" s="27">
        <f>IF(AND(ISNUMBER(SEARCH("Breakfast",$C70)),$D70="Chinese"),RAND(),"")</f>
        <v/>
      </c>
      <c r="I70" s="27">
        <f>IF(AND(ISNUMBER(SEARCH("Breakfast",$C70)),$D70="Western"),RAND(),"")</f>
        <v/>
      </c>
      <c r="J70" s="27">
        <f>IF(AND(ISNUMBER(SEARCH("Lunch",$C70)),$D70="Asian"),RAND(),"")</f>
        <v/>
      </c>
      <c r="K70" s="27">
        <f>IF(AND(ISNUMBER(SEARCH("Lunch",$C70)),$D70="Chinese"),RAND(),"")</f>
        <v/>
      </c>
      <c r="L70" s="27">
        <f>IF(AND(ISNUMBER(SEARCH("Lunch",$C70)),$D70="Western"),RAND(),"")</f>
        <v/>
      </c>
      <c r="M70" s="27">
        <f>IF(AND(ISNUMBER(SEARCH("Dinner",$C70)),$D70="Asian"),RAND(),"")</f>
        <v/>
      </c>
      <c r="N70" s="27">
        <f>IF(AND(ISNUMBER(SEARCH("Dinner",$C70)),$D70="Chinese"),RAND(),"")</f>
        <v/>
      </c>
      <c r="O70" s="27">
        <f>IF(AND(ISNUMBER(SEARCH("Dinner",$C70)),$D70="Western"),RAND(),"")</f>
        <v/>
      </c>
      <c r="P70" s="0" t="b">
        <v>1</v>
      </c>
    </row>
    <row r="71" ht="15.75" customHeight="1" s="36">
      <c r="A71" s="22" t="inlineStr">
        <is>
          <t>Cantonese Steam Fish</t>
        </is>
      </c>
      <c r="B71" s="22" t="inlineStr">
        <is>
          <t>Fish, Scallions, Ginger, Soy Sauce, Sugar, Chicken Powder, Oil</t>
        </is>
      </c>
      <c r="C71" s="21" t="inlineStr">
        <is>
          <t>Dinner</t>
        </is>
      </c>
      <c r="D71" s="26" t="inlineStr">
        <is>
          <t>Chinese</t>
        </is>
      </c>
      <c r="E71" s="21" t="inlineStr">
        <is>
          <t>Low</t>
        </is>
      </c>
      <c r="F71" s="23" t="inlineStr">
        <is>
          <t>https://www.instagram.com/reel/DF9HWbIsEe5/?igsh=MWtrMnh6Z3o1dDkwdw==</t>
        </is>
      </c>
      <c r="G71" s="28">
        <f>IF(AND(ISNUMBER(SEARCH("Breakfast",$C71)),$D71="Asian"),RAND(),"")</f>
        <v/>
      </c>
      <c r="H71" s="28">
        <f>IF(AND(ISNUMBER(SEARCH("Breakfast",$C71)),$D71="Chinese"),RAND(),"")</f>
        <v/>
      </c>
      <c r="I71" s="28">
        <f>IF(AND(ISNUMBER(SEARCH("Breakfast",$C71)),$D71="Western"),RAND(),"")</f>
        <v/>
      </c>
      <c r="J71" s="28">
        <f>IF(AND(ISNUMBER(SEARCH("Lunch",$C71)),$D71="Asian"),RAND(),"")</f>
        <v/>
      </c>
      <c r="K71" s="28">
        <f>IF(AND(ISNUMBER(SEARCH("Lunch",$C71)),$D71="Chinese"),RAND(),"")</f>
        <v/>
      </c>
      <c r="L71" s="28">
        <f>IF(AND(ISNUMBER(SEARCH("Lunch",$C71)),$D71="Western"),RAND(),"")</f>
        <v/>
      </c>
      <c r="M71" s="28">
        <f>IF(AND(ISNUMBER(SEARCH("Dinner",$C71)),$D71="Asian"),RAND(),"")</f>
        <v/>
      </c>
      <c r="N71" s="28">
        <f>IF(AND(ISNUMBER(SEARCH("Dinner",$C71)),$D71="Chinese"),RAND(),"")</f>
        <v/>
      </c>
      <c r="O71" s="28">
        <f>IF(AND(ISNUMBER(SEARCH("Dinner",$C71)),$D71="Western"),RAND(),"")</f>
        <v/>
      </c>
    </row>
    <row r="72" ht="15.75" customHeight="1" s="36">
      <c r="A72" s="18" t="inlineStr">
        <is>
          <t>carrot</t>
        </is>
      </c>
      <c r="B72" s="18" t="inlineStr">
        <is>
          <t>onion, garlic, minced pork, rosemary, diced tomatos, 白腰豆罐头, chicken broth, cauliflower, cheese</t>
        </is>
      </c>
      <c r="C72" s="17" t="inlineStr">
        <is>
          <t>Dinner</t>
        </is>
      </c>
      <c r="D72" s="26" t="inlineStr">
        <is>
          <t>Chinese</t>
        </is>
      </c>
      <c r="E72" s="17" t="inlineStr">
        <is>
          <t>Med</t>
        </is>
      </c>
      <c r="F72" s="19" t="inlineStr">
        <is>
          <t>https://youtu.be/zCOS3d3leuA</t>
        </is>
      </c>
      <c r="G72" s="27">
        <f>IF(AND(ISNUMBER(SEARCH("Breakfast",$C72)),$D72="Asian"),RAND(),"")</f>
        <v/>
      </c>
      <c r="H72" s="27">
        <f>IF(AND(ISNUMBER(SEARCH("Breakfast",$C72)),$D72="Chinese"),RAND(),"")</f>
        <v/>
      </c>
      <c r="I72" s="27">
        <f>IF(AND(ISNUMBER(SEARCH("Breakfast",$C72)),$D72="Western"),RAND(),"")</f>
        <v/>
      </c>
      <c r="J72" s="27">
        <f>IF(AND(ISNUMBER(SEARCH("Lunch",$C72)),$D72="Asian"),RAND(),"")</f>
        <v/>
      </c>
      <c r="K72" s="27">
        <f>IF(AND(ISNUMBER(SEARCH("Lunch",$C72)),$D72="Chinese"),RAND(),"")</f>
        <v/>
      </c>
      <c r="L72" s="27">
        <f>IF(AND(ISNUMBER(SEARCH("Lunch",$C72)),$D72="Western"),RAND(),"")</f>
        <v/>
      </c>
      <c r="M72" s="27">
        <f>IF(AND(ISNUMBER(SEARCH("Dinner",$C72)),$D72="Asian"),RAND(),"")</f>
        <v/>
      </c>
      <c r="N72" s="27">
        <f>IF(AND(ISNUMBER(SEARCH("Dinner",$C72)),$D72="Chinese"),RAND(),"")</f>
        <v/>
      </c>
      <c r="O72" s="27">
        <f>IF(AND(ISNUMBER(SEARCH("Dinner",$C72)),$D72="Western"),RAND(),"")</f>
        <v/>
      </c>
    </row>
    <row r="73" ht="15.75" customHeight="1" s="36">
      <c r="A73" s="22" t="inlineStr">
        <is>
          <t>Carrot Miso Soup</t>
        </is>
      </c>
      <c r="B73" s="22" t="inlineStr">
        <is>
          <t>Carrots, Onion, Garlic, Ginger, Chilli, Coconut oil, Vegetable Stock, Miso paste, Lime, Coconut milk</t>
        </is>
      </c>
      <c r="C73" s="21" t="inlineStr">
        <is>
          <t>Dinner</t>
        </is>
      </c>
      <c r="D73" s="29" t="inlineStr">
        <is>
          <t>Asian</t>
        </is>
      </c>
      <c r="E73" s="21" t="inlineStr">
        <is>
          <t>Med</t>
        </is>
      </c>
      <c r="F73" s="22" t="n"/>
      <c r="G73" s="28">
        <f>IF(AND(ISNUMBER(SEARCH("Breakfast",$C73)),$D73="Asian"),RAND(),"")</f>
        <v/>
      </c>
      <c r="H73" s="28">
        <f>IF(AND(ISNUMBER(SEARCH("Breakfast",$C73)),$D73="Chinese"),RAND(),"")</f>
        <v/>
      </c>
      <c r="I73" s="28">
        <f>IF(AND(ISNUMBER(SEARCH("Breakfast",$C73)),$D73="Western"),RAND(),"")</f>
        <v/>
      </c>
      <c r="J73" s="28">
        <f>IF(AND(ISNUMBER(SEARCH("Lunch",$C73)),$D73="Asian"),RAND(),"")</f>
        <v/>
      </c>
      <c r="K73" s="28">
        <f>IF(AND(ISNUMBER(SEARCH("Lunch",$C73)),$D73="Chinese"),RAND(),"")</f>
        <v/>
      </c>
      <c r="L73" s="28">
        <f>IF(AND(ISNUMBER(SEARCH("Lunch",$C73)),$D73="Western"),RAND(),"")</f>
        <v/>
      </c>
      <c r="M73" s="28">
        <f>IF(AND(ISNUMBER(SEARCH("Dinner",$C73)),$D73="Asian"),RAND(),"")</f>
        <v/>
      </c>
      <c r="N73" s="28">
        <f>IF(AND(ISNUMBER(SEARCH("Dinner",$C73)),$D73="Chinese"),RAND(),"")</f>
        <v/>
      </c>
      <c r="O73" s="28">
        <f>IF(AND(ISNUMBER(SEARCH("Dinner",$C73)),$D73="Western"),RAND(),"")</f>
        <v/>
      </c>
      <c r="P73" s="0" t="b">
        <v>1</v>
      </c>
    </row>
    <row r="74" ht="15.75" customHeight="1" s="36">
      <c r="A74" s="18" t="inlineStr">
        <is>
          <t>Carrot/Corn/Meat Soup</t>
        </is>
      </c>
      <c r="B74" s="18" t="inlineStr">
        <is>
          <t>Corn, Carrot, Spare Ribs, Ginger, Cooking Wine, White Vinegar</t>
        </is>
      </c>
      <c r="C74" s="17" t="inlineStr">
        <is>
          <t>Dinner</t>
        </is>
      </c>
      <c r="D74" s="26" t="inlineStr">
        <is>
          <t>Chinese</t>
        </is>
      </c>
      <c r="E74" s="17" t="inlineStr">
        <is>
          <t>Low</t>
        </is>
      </c>
      <c r="F74" s="19" t="inlineStr">
        <is>
          <t>https://youtu.be/ufGt-xHKHF4</t>
        </is>
      </c>
      <c r="G74" s="27">
        <f>IF(AND(ISNUMBER(SEARCH("Breakfast",$C74)),$D74="Asian"),RAND(),"")</f>
        <v/>
      </c>
      <c r="H74" s="27">
        <f>IF(AND(ISNUMBER(SEARCH("Breakfast",$C74)),$D74="Chinese"),RAND(),"")</f>
        <v/>
      </c>
      <c r="I74" s="27">
        <f>IF(AND(ISNUMBER(SEARCH("Breakfast",$C74)),$D74="Western"),RAND(),"")</f>
        <v/>
      </c>
      <c r="J74" s="27">
        <f>IF(AND(ISNUMBER(SEARCH("Lunch",$C74)),$D74="Asian"),RAND(),"")</f>
        <v/>
      </c>
      <c r="K74" s="27">
        <f>IF(AND(ISNUMBER(SEARCH("Lunch",$C74)),$D74="Chinese"),RAND(),"")</f>
        <v/>
      </c>
      <c r="L74" s="27">
        <f>IF(AND(ISNUMBER(SEARCH("Lunch",$C74)),$D74="Western"),RAND(),"")</f>
        <v/>
      </c>
      <c r="M74" s="27">
        <f>IF(AND(ISNUMBER(SEARCH("Dinner",$C74)),$D74="Asian"),RAND(),"")</f>
        <v/>
      </c>
      <c r="N74" s="27">
        <f>IF(AND(ISNUMBER(SEARCH("Dinner",$C74)),$D74="Chinese"),RAND(),"")</f>
        <v/>
      </c>
      <c r="O74" s="27">
        <f>IF(AND(ISNUMBER(SEARCH("Dinner",$C74)),$D74="Western"),RAND(),"")</f>
        <v/>
      </c>
      <c r="P74" s="0" t="b">
        <v>1</v>
      </c>
    </row>
    <row r="75" ht="15.75" customHeight="1" s="36">
      <c r="A75" s="22" t="inlineStr">
        <is>
          <t>Cereal prawns</t>
        </is>
      </c>
      <c r="B75" s="22" t="inlineStr">
        <is>
          <t>Prawns, Cereal Packet</t>
        </is>
      </c>
      <c r="C75" s="21" t="inlineStr">
        <is>
          <t>Dinner</t>
        </is>
      </c>
      <c r="D75" s="26" t="inlineStr">
        <is>
          <t>Chinese</t>
        </is>
      </c>
      <c r="E75" s="21" t="inlineStr">
        <is>
          <t>Low</t>
        </is>
      </c>
      <c r="F75" s="22" t="n"/>
      <c r="G75" s="28">
        <f>IF(AND(ISNUMBER(SEARCH("Breakfast",$C75)),$D75="Asian"),RAND(),"")</f>
        <v/>
      </c>
      <c r="H75" s="28">
        <f>IF(AND(ISNUMBER(SEARCH("Breakfast",$C75)),$D75="Chinese"),RAND(),"")</f>
        <v/>
      </c>
      <c r="I75" s="28">
        <f>IF(AND(ISNUMBER(SEARCH("Breakfast",$C75)),$D75="Western"),RAND(),"")</f>
        <v/>
      </c>
      <c r="J75" s="28">
        <f>IF(AND(ISNUMBER(SEARCH("Lunch",$C75)),$D75="Asian"),RAND(),"")</f>
        <v/>
      </c>
      <c r="K75" s="28">
        <f>IF(AND(ISNUMBER(SEARCH("Lunch",$C75)),$D75="Chinese"),RAND(),"")</f>
        <v/>
      </c>
      <c r="L75" s="28">
        <f>IF(AND(ISNUMBER(SEARCH("Lunch",$C75)),$D75="Western"),RAND(),"")</f>
        <v/>
      </c>
      <c r="M75" s="28">
        <f>IF(AND(ISNUMBER(SEARCH("Dinner",$C75)),$D75="Asian"),RAND(),"")</f>
        <v/>
      </c>
      <c r="N75" s="28">
        <f>IF(AND(ISNUMBER(SEARCH("Dinner",$C75)),$D75="Chinese"),RAND(),"")</f>
        <v/>
      </c>
      <c r="O75" s="28">
        <f>IF(AND(ISNUMBER(SEARCH("Dinner",$C75)),$D75="Western"),RAND(),"")</f>
        <v/>
      </c>
    </row>
    <row r="76" ht="15.75" customHeight="1" s="36">
      <c r="A76" s="18" t="inlineStr">
        <is>
          <t>Cheese Omelete</t>
        </is>
      </c>
      <c r="B76" s="18" t="inlineStr">
        <is>
          <t>Spinach, Tofu, Egg, White Pepper, Cheese, Prawns</t>
        </is>
      </c>
      <c r="C76" s="17" t="inlineStr">
        <is>
          <t>Lunch</t>
        </is>
      </c>
      <c r="D76" s="30" t="inlineStr">
        <is>
          <t>Western</t>
        </is>
      </c>
      <c r="E76" s="17" t="inlineStr">
        <is>
          <t>Low</t>
        </is>
      </c>
      <c r="F76" s="19" t="inlineStr">
        <is>
          <t>https://www.instagram.com/reel/DHLTjALzK__/?utm_source=ig_web_copy_link</t>
        </is>
      </c>
      <c r="G76" s="27">
        <f>IF(AND(ISNUMBER(SEARCH("Breakfast",$C76)),$D76="Asian"),RAND(),"")</f>
        <v/>
      </c>
      <c r="H76" s="27">
        <f>IF(AND(ISNUMBER(SEARCH("Breakfast",$C76)),$D76="Chinese"),RAND(),"")</f>
        <v/>
      </c>
      <c r="I76" s="27">
        <f>IF(AND(ISNUMBER(SEARCH("Breakfast",$C76)),$D76="Western"),RAND(),"")</f>
        <v/>
      </c>
      <c r="J76" s="27">
        <f>IF(AND(ISNUMBER(SEARCH("Lunch",$C76)),$D76="Asian"),RAND(),"")</f>
        <v/>
      </c>
      <c r="K76" s="27">
        <f>IF(AND(ISNUMBER(SEARCH("Lunch",$C76)),$D76="Chinese"),RAND(),"")</f>
        <v/>
      </c>
      <c r="L76" s="27">
        <f>IF(AND(ISNUMBER(SEARCH("Lunch",$C76)),$D76="Western"),RAND(),"")</f>
        <v/>
      </c>
      <c r="M76" s="27">
        <f>IF(AND(ISNUMBER(SEARCH("Dinner",$C76)),$D76="Asian"),RAND(),"")</f>
        <v/>
      </c>
      <c r="N76" s="27">
        <f>IF(AND(ISNUMBER(SEARCH("Dinner",$C76)),$D76="Chinese"),RAND(),"")</f>
        <v/>
      </c>
      <c r="O76" s="27">
        <f>IF(AND(ISNUMBER(SEARCH("Dinner",$C76)),$D76="Western"),RAND(),"")</f>
        <v/>
      </c>
    </row>
    <row r="77" ht="15.75" customHeight="1" s="36">
      <c r="A77" s="22" t="inlineStr">
        <is>
          <t>Cheesy Cauliflower</t>
        </is>
      </c>
      <c r="B77" s="22" t="inlineStr">
        <is>
          <t>Cauliflower, Butter, Garlic, Flour, Milk, Paprika, Cheddar Cheese, Parmasean Cheese</t>
        </is>
      </c>
      <c r="C77" s="21" t="inlineStr">
        <is>
          <t>Dinner</t>
        </is>
      </c>
      <c r="D77" s="30" t="inlineStr">
        <is>
          <t>Western</t>
        </is>
      </c>
      <c r="E77" s="21" t="inlineStr">
        <is>
          <t>Low</t>
        </is>
      </c>
      <c r="F77" s="23" t="inlineStr">
        <is>
          <t>https://youtu.be/7DoO4a_-Zmo</t>
        </is>
      </c>
      <c r="G77" s="28">
        <f>IF(AND(ISNUMBER(SEARCH("Breakfast",$C77)),$D77="Asian"),RAND(),"")</f>
        <v/>
      </c>
      <c r="H77" s="28">
        <f>IF(AND(ISNUMBER(SEARCH("Breakfast",$C77)),$D77="Chinese"),RAND(),"")</f>
        <v/>
      </c>
      <c r="I77" s="28">
        <f>IF(AND(ISNUMBER(SEARCH("Breakfast",$C77)),$D77="Western"),RAND(),"")</f>
        <v/>
      </c>
      <c r="J77" s="28">
        <f>IF(AND(ISNUMBER(SEARCH("Lunch",$C77)),$D77="Asian"),RAND(),"")</f>
        <v/>
      </c>
      <c r="K77" s="28">
        <f>IF(AND(ISNUMBER(SEARCH("Lunch",$C77)),$D77="Chinese"),RAND(),"")</f>
        <v/>
      </c>
      <c r="L77" s="28">
        <f>IF(AND(ISNUMBER(SEARCH("Lunch",$C77)),$D77="Western"),RAND(),"")</f>
        <v/>
      </c>
      <c r="M77" s="28">
        <f>IF(AND(ISNUMBER(SEARCH("Dinner",$C77)),$D77="Asian"),RAND(),"")</f>
        <v/>
      </c>
      <c r="N77" s="28">
        <f>IF(AND(ISNUMBER(SEARCH("Dinner",$C77)),$D77="Chinese"),RAND(),"")</f>
        <v/>
      </c>
      <c r="O77" s="28">
        <f>IF(AND(ISNUMBER(SEARCH("Dinner",$C77)),$D77="Western"),RAND(),"")</f>
        <v/>
      </c>
    </row>
    <row r="78" ht="15.75" customHeight="1" s="36">
      <c r="A78" s="18" t="inlineStr">
        <is>
          <t>Chestnut Porridge</t>
        </is>
      </c>
      <c r="B78" s="18" t="inlineStr">
        <is>
          <t>Sweet rice flour, Milk, Chestnuts</t>
        </is>
      </c>
      <c r="C78" s="17" t="inlineStr">
        <is>
          <t>Lunch</t>
        </is>
      </c>
      <c r="D78" s="26" t="inlineStr">
        <is>
          <t>Chinese</t>
        </is>
      </c>
      <c r="E78" s="17" t="inlineStr">
        <is>
          <t>Low</t>
        </is>
      </c>
      <c r="F78" s="19" t="inlineStr">
        <is>
          <t>https://youtu.be/VP1dR43QulE?si=jA7Tc6AV6ANY6aTE</t>
        </is>
      </c>
      <c r="G78" s="27">
        <f>IF(AND(ISNUMBER(SEARCH("Breakfast",$C78)),$D78="Asian"),RAND(),"")</f>
        <v/>
      </c>
      <c r="H78" s="27">
        <f>IF(AND(ISNUMBER(SEARCH("Breakfast",$C78)),$D78="Chinese"),RAND(),"")</f>
        <v/>
      </c>
      <c r="I78" s="27">
        <f>IF(AND(ISNUMBER(SEARCH("Breakfast",$C78)),$D78="Western"),RAND(),"")</f>
        <v/>
      </c>
      <c r="J78" s="27">
        <f>IF(AND(ISNUMBER(SEARCH("Lunch",$C78)),$D78="Asian"),RAND(),"")</f>
        <v/>
      </c>
      <c r="K78" s="27">
        <f>IF(AND(ISNUMBER(SEARCH("Lunch",$C78)),$D78="Chinese"),RAND(),"")</f>
        <v/>
      </c>
      <c r="L78" s="27">
        <f>IF(AND(ISNUMBER(SEARCH("Lunch",$C78)),$D78="Western"),RAND(),"")</f>
        <v/>
      </c>
      <c r="M78" s="27">
        <f>IF(AND(ISNUMBER(SEARCH("Dinner",$C78)),$D78="Asian"),RAND(),"")</f>
        <v/>
      </c>
      <c r="N78" s="27">
        <f>IF(AND(ISNUMBER(SEARCH("Dinner",$C78)),$D78="Chinese"),RAND(),"")</f>
        <v/>
      </c>
      <c r="O78" s="27">
        <f>IF(AND(ISNUMBER(SEARCH("Dinner",$C78)),$D78="Western"),RAND(),"")</f>
        <v/>
      </c>
    </row>
    <row r="79" ht="15.75" customHeight="1" s="36">
      <c r="A79" s="22" t="inlineStr">
        <is>
          <t>Chia Seed Pudding</t>
        </is>
      </c>
      <c r="B79" s="22" t="inlineStr">
        <is>
          <t>Oats, Chia Seed, Vanilla Essence, Milk, Figs, Blueberry, Kiwi, Plum</t>
        </is>
      </c>
      <c r="C79" s="21" t="inlineStr">
        <is>
          <t>Breakfast</t>
        </is>
      </c>
      <c r="D79" s="30" t="inlineStr">
        <is>
          <t>Western</t>
        </is>
      </c>
      <c r="E79" s="21" t="inlineStr">
        <is>
          <t>Low</t>
        </is>
      </c>
      <c r="F79" s="22" t="n"/>
      <c r="G79" s="28">
        <f>IF(AND(ISNUMBER(SEARCH("Breakfast",$C79)),$D79="Asian"),RAND(),"")</f>
        <v/>
      </c>
      <c r="H79" s="28">
        <f>IF(AND(ISNUMBER(SEARCH("Breakfast",$C79)),$D79="Chinese"),RAND(),"")</f>
        <v/>
      </c>
      <c r="I79" s="28">
        <f>IF(AND(ISNUMBER(SEARCH("Breakfast",$C79)),$D79="Western"),RAND(),"")</f>
        <v/>
      </c>
      <c r="J79" s="28">
        <f>IF(AND(ISNUMBER(SEARCH("Lunch",$C79)),$D79="Asian"),RAND(),"")</f>
        <v/>
      </c>
      <c r="K79" s="28">
        <f>IF(AND(ISNUMBER(SEARCH("Lunch",$C79)),$D79="Chinese"),RAND(),"")</f>
        <v/>
      </c>
      <c r="L79" s="28">
        <f>IF(AND(ISNUMBER(SEARCH("Lunch",$C79)),$D79="Western"),RAND(),"")</f>
        <v/>
      </c>
      <c r="M79" s="28">
        <f>IF(AND(ISNUMBER(SEARCH("Dinner",$C79)),$D79="Asian"),RAND(),"")</f>
        <v/>
      </c>
      <c r="N79" s="28">
        <f>IF(AND(ISNUMBER(SEARCH("Dinner",$C79)),$D79="Chinese"),RAND(),"")</f>
        <v/>
      </c>
      <c r="O79" s="28">
        <f>IF(AND(ISNUMBER(SEARCH("Dinner",$C79)),$D79="Western"),RAND(),"")</f>
        <v/>
      </c>
    </row>
    <row r="80" ht="15.75" customHeight="1" s="36">
      <c r="A80" s="22" t="inlineStr">
        <is>
          <t>Chicken &amp; Mushroom Pie</t>
        </is>
      </c>
      <c r="B80" s="22" t="inlineStr">
        <is>
          <t>Butter, Small Onion, Garlic, Plain Flour, Chicken Stock, Double Cream, Chicken Breast, Button Mushrooms, Oregano, Tarragon, Onion Powder, Nutmeg, Chilli Flakes, Black Pepper, Salt</t>
        </is>
      </c>
      <c r="C80" s="21" t="inlineStr">
        <is>
          <t>Dinner, Lunch</t>
        </is>
      </c>
      <c r="D80" s="30" t="inlineStr">
        <is>
          <t>Western</t>
        </is>
      </c>
      <c r="E80" s="21" t="inlineStr">
        <is>
          <t>Low</t>
        </is>
      </c>
      <c r="F80" s="23" t="inlineStr">
        <is>
          <t>https://www.instagram.com/reel/DDfNMyfIm_R/?utm_source=ig_web_copy_link</t>
        </is>
      </c>
      <c r="G80" s="28">
        <f>IF(AND(ISNUMBER(SEARCH("Breakfast",$C80)),$D80="Asian"),RAND(),"")</f>
        <v/>
      </c>
      <c r="H80" s="28">
        <f>IF(AND(ISNUMBER(SEARCH("Breakfast",$C80)),$D80="Chinese"),RAND(),"")</f>
        <v/>
      </c>
      <c r="I80" s="28">
        <f>IF(AND(ISNUMBER(SEARCH("Breakfast",$C80)),$D80="Western"),RAND(),"")</f>
        <v/>
      </c>
      <c r="J80" s="28">
        <f>IF(AND(ISNUMBER(SEARCH("Lunch",$C80)),$D80="Asian"),RAND(),"")</f>
        <v/>
      </c>
      <c r="K80" s="28">
        <f>IF(AND(ISNUMBER(SEARCH("Lunch",$C80)),$D80="Chinese"),RAND(),"")</f>
        <v/>
      </c>
      <c r="L80" s="28">
        <f>IF(AND(ISNUMBER(SEARCH("Lunch",$C80)),$D80="Western"),RAND(),"")</f>
        <v/>
      </c>
      <c r="M80" s="28">
        <f>IF(AND(ISNUMBER(SEARCH("Dinner",$C80)),$D80="Asian"),RAND(),"")</f>
        <v/>
      </c>
      <c r="N80" s="28">
        <f>IF(AND(ISNUMBER(SEARCH("Dinner",$C80)),$D80="Chinese"),RAND(),"")</f>
        <v/>
      </c>
      <c r="O80" s="28">
        <f>IF(AND(ISNUMBER(SEARCH("Dinner",$C80)),$D80="Western"),RAND(),"")</f>
        <v/>
      </c>
    </row>
    <row r="81" ht="15.75" customHeight="1" s="36">
      <c r="A81" s="18" t="inlineStr">
        <is>
          <t>Chicken Cacciatore</t>
        </is>
      </c>
      <c r="B81" s="18" t="inlineStr">
        <is>
          <t>Chicken Thigh, Yellow Onion, Celery, Red Bell Pepper, Green Bell Pepper, White Mushroom, Garlic, Oregano, Thyme, Coriander, Red Pepper Flakes, Red Wine, Crushed Tomato</t>
        </is>
      </c>
      <c r="C81" s="17" t="inlineStr">
        <is>
          <t>Dinner</t>
        </is>
      </c>
      <c r="D81" s="30" t="inlineStr">
        <is>
          <t>Western</t>
        </is>
      </c>
      <c r="E81" s="17" t="inlineStr">
        <is>
          <t>Med</t>
        </is>
      </c>
      <c r="F81" s="19" t="inlineStr">
        <is>
          <t>https://youtu.be/FatykmyFaqM</t>
        </is>
      </c>
      <c r="G81" s="27">
        <f>IF(AND(ISNUMBER(SEARCH("Breakfast",$C81)),$D81="Asian"),RAND(),"")</f>
        <v/>
      </c>
      <c r="H81" s="27">
        <f>IF(AND(ISNUMBER(SEARCH("Breakfast",$C81)),$D81="Chinese"),RAND(),"")</f>
        <v/>
      </c>
      <c r="I81" s="27">
        <f>IF(AND(ISNUMBER(SEARCH("Breakfast",$C81)),$D81="Western"),RAND(),"")</f>
        <v/>
      </c>
      <c r="J81" s="27">
        <f>IF(AND(ISNUMBER(SEARCH("Lunch",$C81)),$D81="Asian"),RAND(),"")</f>
        <v/>
      </c>
      <c r="K81" s="27">
        <f>IF(AND(ISNUMBER(SEARCH("Lunch",$C81)),$D81="Chinese"),RAND(),"")</f>
        <v/>
      </c>
      <c r="L81" s="27">
        <f>IF(AND(ISNUMBER(SEARCH("Lunch",$C81)),$D81="Western"),RAND(),"")</f>
        <v/>
      </c>
      <c r="M81" s="27">
        <f>IF(AND(ISNUMBER(SEARCH("Dinner",$C81)),$D81="Asian"),RAND(),"")</f>
        <v/>
      </c>
      <c r="N81" s="27">
        <f>IF(AND(ISNUMBER(SEARCH("Dinner",$C81)),$D81="Chinese"),RAND(),"")</f>
        <v/>
      </c>
      <c r="O81" s="27">
        <f>IF(AND(ISNUMBER(SEARCH("Dinner",$C81)),$D81="Western"),RAND(),"")</f>
        <v/>
      </c>
    </row>
    <row r="82" ht="15.75" customHeight="1" s="36">
      <c r="A82" s="22" t="inlineStr">
        <is>
          <t>Chicken couscous</t>
        </is>
      </c>
      <c r="B82" s="22" t="inlineStr">
        <is>
          <t>Olive Oil, Red wine vinegar, Ketchup, Garlic, Ground Cinnamon, Ginger, Chicken Thigh, Carrots, Celery, Red Onion, Couscous, Parsley, Tumeric, Cumin, Paprika</t>
        </is>
      </c>
      <c r="C82" s="21" t="inlineStr">
        <is>
          <t>Lunch</t>
        </is>
      </c>
      <c r="D82" s="30" t="inlineStr">
        <is>
          <t>Western</t>
        </is>
      </c>
      <c r="E82" s="21" t="inlineStr">
        <is>
          <t>Med</t>
        </is>
      </c>
      <c r="F82" s="23" t="inlineStr">
        <is>
          <t>https://www.themediterraneandish.com/chicken-couscous/</t>
        </is>
      </c>
      <c r="G82" s="28">
        <f>IF(AND(ISNUMBER(SEARCH("Breakfast",$C82)),$D82="Asian"),RAND(),"")</f>
        <v/>
      </c>
      <c r="H82" s="28">
        <f>IF(AND(ISNUMBER(SEARCH("Breakfast",$C82)),$D82="Chinese"),RAND(),"")</f>
        <v/>
      </c>
      <c r="I82" s="28">
        <f>IF(AND(ISNUMBER(SEARCH("Breakfast",$C82)),$D82="Western"),RAND(),"")</f>
        <v/>
      </c>
      <c r="J82" s="28">
        <f>IF(AND(ISNUMBER(SEARCH("Lunch",$C82)),$D82="Asian"),RAND(),"")</f>
        <v/>
      </c>
      <c r="K82" s="28">
        <f>IF(AND(ISNUMBER(SEARCH("Lunch",$C82)),$D82="Chinese"),RAND(),"")</f>
        <v/>
      </c>
      <c r="L82" s="28">
        <f>IF(AND(ISNUMBER(SEARCH("Lunch",$C82)),$D82="Western"),RAND(),"")</f>
        <v/>
      </c>
      <c r="M82" s="28">
        <f>IF(AND(ISNUMBER(SEARCH("Dinner",$C82)),$D82="Asian"),RAND(),"")</f>
        <v/>
      </c>
      <c r="N82" s="28">
        <f>IF(AND(ISNUMBER(SEARCH("Dinner",$C82)),$D82="Chinese"),RAND(),"")</f>
        <v/>
      </c>
      <c r="O82" s="28">
        <f>IF(AND(ISNUMBER(SEARCH("Dinner",$C82)),$D82="Western"),RAND(),"")</f>
        <v/>
      </c>
    </row>
    <row r="83" ht="15.75" customHeight="1" s="36">
      <c r="A83" s="18" t="inlineStr">
        <is>
          <t>Chicken Fajitas</t>
        </is>
      </c>
      <c r="B83" s="18" t="inlineStr">
        <is>
          <t>Chilli Powder, Cumin, Garlic Powder, Paprika, Oregano, Salt, Black Pepper, Chicken Thigh, Bell Peppers, Onion, Lime</t>
        </is>
      </c>
      <c r="C83" s="17" t="inlineStr">
        <is>
          <t>Dinner</t>
        </is>
      </c>
      <c r="D83" s="30" t="inlineStr">
        <is>
          <t>Western</t>
        </is>
      </c>
      <c r="E83" s="17" t="inlineStr">
        <is>
          <t>Low</t>
        </is>
      </c>
      <c r="F83" s="19" t="inlineStr">
        <is>
          <t>https://youtu.be/VSmCWKLHWxk</t>
        </is>
      </c>
      <c r="G83" s="27">
        <f>IF(AND(ISNUMBER(SEARCH("Breakfast",$C83)),$D83="Asian"),RAND(),"")</f>
        <v/>
      </c>
      <c r="H83" s="27">
        <f>IF(AND(ISNUMBER(SEARCH("Breakfast",$C83)),$D83="Chinese"),RAND(),"")</f>
        <v/>
      </c>
      <c r="I83" s="27">
        <f>IF(AND(ISNUMBER(SEARCH("Breakfast",$C83)),$D83="Western"),RAND(),"")</f>
        <v/>
      </c>
      <c r="J83" s="27">
        <f>IF(AND(ISNUMBER(SEARCH("Lunch",$C83)),$D83="Asian"),RAND(),"")</f>
        <v/>
      </c>
      <c r="K83" s="27">
        <f>IF(AND(ISNUMBER(SEARCH("Lunch",$C83)),$D83="Chinese"),RAND(),"")</f>
        <v/>
      </c>
      <c r="L83" s="27">
        <f>IF(AND(ISNUMBER(SEARCH("Lunch",$C83)),$D83="Western"),RAND(),"")</f>
        <v/>
      </c>
      <c r="M83" s="27">
        <f>IF(AND(ISNUMBER(SEARCH("Dinner",$C83)),$D83="Asian"),RAND(),"")</f>
        <v/>
      </c>
      <c r="N83" s="27">
        <f>IF(AND(ISNUMBER(SEARCH("Dinner",$C83)),$D83="Chinese"),RAND(),"")</f>
        <v/>
      </c>
      <c r="O83" s="27">
        <f>IF(AND(ISNUMBER(SEARCH("Dinner",$C83)),$D83="Western"),RAND(),"")</f>
        <v/>
      </c>
    </row>
    <row r="84" ht="15.75" customHeight="1" s="36">
      <c r="A84" s="22" t="inlineStr">
        <is>
          <t>Chicken Grape Soup</t>
        </is>
      </c>
      <c r="B84" s="22" t="inlineStr">
        <is>
          <t>Chicken Thigh, Ginger, Rice Wine, Grape</t>
        </is>
      </c>
      <c r="C84" s="21" t="inlineStr">
        <is>
          <t>Dinner</t>
        </is>
      </c>
      <c r="D84" s="29" t="inlineStr">
        <is>
          <t>Asian</t>
        </is>
      </c>
      <c r="E84" s="21" t="inlineStr">
        <is>
          <t>Low</t>
        </is>
      </c>
      <c r="F84" s="23" t="inlineStr">
        <is>
          <t>https://www.instagram.com/reel/DI8pi88T8I3/?igsh=M2pzdHQ2YWRwa3B5</t>
        </is>
      </c>
      <c r="G84" s="28">
        <f>IF(AND(ISNUMBER(SEARCH("Breakfast",$C84)),$D84="Asian"),RAND(),"")</f>
        <v/>
      </c>
      <c r="H84" s="28">
        <f>IF(AND(ISNUMBER(SEARCH("Breakfast",$C84)),$D84="Chinese"),RAND(),"")</f>
        <v/>
      </c>
      <c r="I84" s="28">
        <f>IF(AND(ISNUMBER(SEARCH("Breakfast",$C84)),$D84="Western"),RAND(),"")</f>
        <v/>
      </c>
      <c r="J84" s="28">
        <f>IF(AND(ISNUMBER(SEARCH("Lunch",$C84)),$D84="Asian"),RAND(),"")</f>
        <v/>
      </c>
      <c r="K84" s="28">
        <f>IF(AND(ISNUMBER(SEARCH("Lunch",$C84)),$D84="Chinese"),RAND(),"")</f>
        <v/>
      </c>
      <c r="L84" s="28">
        <f>IF(AND(ISNUMBER(SEARCH("Lunch",$C84)),$D84="Western"),RAND(),"")</f>
        <v/>
      </c>
      <c r="M84" s="28">
        <f>IF(AND(ISNUMBER(SEARCH("Dinner",$C84)),$D84="Asian"),RAND(),"")</f>
        <v/>
      </c>
      <c r="N84" s="28">
        <f>IF(AND(ISNUMBER(SEARCH("Dinner",$C84)),$D84="Chinese"),RAND(),"")</f>
        <v/>
      </c>
      <c r="O84" s="28">
        <f>IF(AND(ISNUMBER(SEARCH("Dinner",$C84)),$D84="Western"),RAND(),"")</f>
        <v/>
      </c>
      <c r="P84" s="0" t="b">
        <v>1</v>
      </c>
    </row>
    <row r="85" ht="15.75" customHeight="1" s="36">
      <c r="A85" s="18" t="inlineStr">
        <is>
          <t>Chicken Macaroni Soup</t>
        </is>
      </c>
      <c r="B85" s="18" t="inlineStr">
        <is>
          <t>Chicken Broth, Chicken Breast, Canned Mushrooms, Choy Sum, Fish Ball, Macaroni, Button Mushroom, Mushroom</t>
        </is>
      </c>
      <c r="C85" s="17" t="inlineStr">
        <is>
          <t>Breakfast, Lunch</t>
        </is>
      </c>
      <c r="D85" s="30" t="inlineStr">
        <is>
          <t>Western</t>
        </is>
      </c>
      <c r="E85" s="17" t="inlineStr">
        <is>
          <t>Low</t>
        </is>
      </c>
      <c r="F85" s="19" t="inlineStr">
        <is>
          <t>https://www.instagram.com/p/CURhMMVPjAC/?igshid=N2NmMDY0OWE%3D</t>
        </is>
      </c>
      <c r="G85" s="27">
        <f>IF(AND(ISNUMBER(SEARCH("Breakfast",$C85)),$D85="Asian"),RAND(),"")</f>
        <v/>
      </c>
      <c r="H85" s="27">
        <f>IF(AND(ISNUMBER(SEARCH("Breakfast",$C85)),$D85="Chinese"),RAND(),"")</f>
        <v/>
      </c>
      <c r="I85" s="27">
        <f>IF(AND(ISNUMBER(SEARCH("Breakfast",$C85)),$D85="Western"),RAND(),"")</f>
        <v/>
      </c>
      <c r="J85" s="27">
        <f>IF(AND(ISNUMBER(SEARCH("Lunch",$C85)),$D85="Asian"),RAND(),"")</f>
        <v/>
      </c>
      <c r="K85" s="27">
        <f>IF(AND(ISNUMBER(SEARCH("Lunch",$C85)),$D85="Chinese"),RAND(),"")</f>
        <v/>
      </c>
      <c r="L85" s="27">
        <f>IF(AND(ISNUMBER(SEARCH("Lunch",$C85)),$D85="Western"),RAND(),"")</f>
        <v/>
      </c>
      <c r="M85" s="27">
        <f>IF(AND(ISNUMBER(SEARCH("Dinner",$C85)),$D85="Asian"),RAND(),"")</f>
        <v/>
      </c>
      <c r="N85" s="27">
        <f>IF(AND(ISNUMBER(SEARCH("Dinner",$C85)),$D85="Chinese"),RAND(),"")</f>
        <v/>
      </c>
      <c r="O85" s="27">
        <f>IF(AND(ISNUMBER(SEARCH("Dinner",$C85)),$D85="Western"),RAND(),"")</f>
        <v/>
      </c>
      <c r="P85" s="0" t="b">
        <v>1</v>
      </c>
    </row>
    <row r="86" ht="15.75" customHeight="1" s="36">
      <c r="A86" s="22" t="inlineStr">
        <is>
          <t>Chicken Mushroom Horfun</t>
        </is>
      </c>
      <c r="B86" s="22" t="inlineStr">
        <is>
          <t>Thigh, Shiitake Mushroom, Ginger, Broth, Hor Fun Noodles, Garlic, Choy Sum, Chicken Stock, Shaoxing Wine, Soy Sauce</t>
        </is>
      </c>
      <c r="C86" s="21" t="inlineStr">
        <is>
          <t>Lunch</t>
        </is>
      </c>
      <c r="D86" s="26" t="inlineStr">
        <is>
          <t>Chinese</t>
        </is>
      </c>
      <c r="E86" s="21" t="inlineStr">
        <is>
          <t>High</t>
        </is>
      </c>
      <c r="F86" s="23" t="inlineStr">
        <is>
          <t>https://www.instagram.com/p/CUHRQj0vftA/?igshid=N2NmMDY0OWE%3D</t>
        </is>
      </c>
      <c r="G86" s="28">
        <f>IF(AND(ISNUMBER(SEARCH("Breakfast",$C86)),$D86="Asian"),RAND(),"")</f>
        <v/>
      </c>
      <c r="H86" s="28">
        <f>IF(AND(ISNUMBER(SEARCH("Breakfast",$C86)),$D86="Chinese"),RAND(),"")</f>
        <v/>
      </c>
      <c r="I86" s="28">
        <f>IF(AND(ISNUMBER(SEARCH("Breakfast",$C86)),$D86="Western"),RAND(),"")</f>
        <v/>
      </c>
      <c r="J86" s="28">
        <f>IF(AND(ISNUMBER(SEARCH("Lunch",$C86)),$D86="Asian"),RAND(),"")</f>
        <v/>
      </c>
      <c r="K86" s="28">
        <f>IF(AND(ISNUMBER(SEARCH("Lunch",$C86)),$D86="Chinese"),RAND(),"")</f>
        <v/>
      </c>
      <c r="L86" s="28">
        <f>IF(AND(ISNUMBER(SEARCH("Lunch",$C86)),$D86="Western"),RAND(),"")</f>
        <v/>
      </c>
      <c r="M86" s="28">
        <f>IF(AND(ISNUMBER(SEARCH("Dinner",$C86)),$D86="Asian"),RAND(),"")</f>
        <v/>
      </c>
      <c r="N86" s="28">
        <f>IF(AND(ISNUMBER(SEARCH("Dinner",$C86)),$D86="Chinese"),RAND(),"")</f>
        <v/>
      </c>
      <c r="O86" s="28">
        <f>IF(AND(ISNUMBER(SEARCH("Dinner",$C86)),$D86="Western"),RAND(),"")</f>
        <v/>
      </c>
    </row>
    <row r="87" ht="15.75" customHeight="1" s="36">
      <c r="A87" s="18" t="inlineStr">
        <is>
          <t>Chicken Porridge</t>
        </is>
      </c>
      <c r="B87" s="18" t="inlineStr">
        <is>
          <t>Chicken Thigh, Rice, Shiitake Mushroom, Corn Kernels, Carrot</t>
        </is>
      </c>
      <c r="C87" s="17" t="inlineStr">
        <is>
          <t>Breakfast</t>
        </is>
      </c>
      <c r="D87" s="26" t="inlineStr">
        <is>
          <t>Chinese</t>
        </is>
      </c>
      <c r="E87" s="17" t="inlineStr">
        <is>
          <t>Low</t>
        </is>
      </c>
      <c r="F87" s="19" t="inlineStr">
        <is>
          <t>http://xhslink.com/a/qBIxlQmNWbsX</t>
        </is>
      </c>
      <c r="G87" s="27">
        <f>IF(AND(ISNUMBER(SEARCH("Breakfast",$C87)),$D87="Asian"),RAND(),"")</f>
        <v/>
      </c>
      <c r="H87" s="27">
        <f>IF(AND(ISNUMBER(SEARCH("Breakfast",$C87)),$D87="Chinese"),RAND(),"")</f>
        <v/>
      </c>
      <c r="I87" s="27">
        <f>IF(AND(ISNUMBER(SEARCH("Breakfast",$C87)),$D87="Western"),RAND(),"")</f>
        <v/>
      </c>
      <c r="J87" s="27">
        <f>IF(AND(ISNUMBER(SEARCH("Lunch",$C87)),$D87="Asian"),RAND(),"")</f>
        <v/>
      </c>
      <c r="K87" s="27">
        <f>IF(AND(ISNUMBER(SEARCH("Lunch",$C87)),$D87="Chinese"),RAND(),"")</f>
        <v/>
      </c>
      <c r="L87" s="27">
        <f>IF(AND(ISNUMBER(SEARCH("Lunch",$C87)),$D87="Western"),RAND(),"")</f>
        <v/>
      </c>
      <c r="M87" s="27">
        <f>IF(AND(ISNUMBER(SEARCH("Dinner",$C87)),$D87="Asian"),RAND(),"")</f>
        <v/>
      </c>
      <c r="N87" s="27">
        <f>IF(AND(ISNUMBER(SEARCH("Dinner",$C87)),$D87="Chinese"),RAND(),"")</f>
        <v/>
      </c>
      <c r="O87" s="27">
        <f>IF(AND(ISNUMBER(SEARCH("Dinner",$C87)),$D87="Western"),RAND(),"")</f>
        <v/>
      </c>
    </row>
    <row r="88" ht="15.75" customHeight="1" s="36">
      <c r="A88" s="22" t="inlineStr">
        <is>
          <t>Chicken Potato</t>
        </is>
      </c>
      <c r="B88" s="22" t="inlineStr">
        <is>
          <t>Chicken Thigh, Potato, Mirin, Sake, Soy Sauce, Garlic, Butter</t>
        </is>
      </c>
      <c r="C88" s="21" t="inlineStr">
        <is>
          <t>Dinner</t>
        </is>
      </c>
      <c r="D88" s="29" t="inlineStr">
        <is>
          <t>Asian</t>
        </is>
      </c>
      <c r="E88" s="21" t="inlineStr">
        <is>
          <t>High</t>
        </is>
      </c>
      <c r="F88" s="23" t="inlineStr">
        <is>
          <t>https://www.instagram.com/reel/DPqKhp1ExWP/?utm_source=ig_web_button_share_sheet</t>
        </is>
      </c>
      <c r="G88" s="28">
        <f>IF(AND(ISNUMBER(SEARCH("Breakfast",$C88)),$D88="Asian"),RAND(),"")</f>
        <v/>
      </c>
      <c r="H88" s="28">
        <f>IF(AND(ISNUMBER(SEARCH("Breakfast",$C88)),$D88="Chinese"),RAND(),"")</f>
        <v/>
      </c>
      <c r="I88" s="28">
        <f>IF(AND(ISNUMBER(SEARCH("Breakfast",$C88)),$D88="Western"),RAND(),"")</f>
        <v/>
      </c>
      <c r="J88" s="28">
        <f>IF(AND(ISNUMBER(SEARCH("Lunch",$C88)),$D88="Asian"),RAND(),"")</f>
        <v/>
      </c>
      <c r="K88" s="28">
        <f>IF(AND(ISNUMBER(SEARCH("Lunch",$C88)),$D88="Chinese"),RAND(),"")</f>
        <v/>
      </c>
      <c r="L88" s="28">
        <f>IF(AND(ISNUMBER(SEARCH("Lunch",$C88)),$D88="Western"),RAND(),"")</f>
        <v/>
      </c>
      <c r="M88" s="28">
        <f>IF(AND(ISNUMBER(SEARCH("Dinner",$C88)),$D88="Asian"),RAND(),"")</f>
        <v/>
      </c>
      <c r="N88" s="28">
        <f>IF(AND(ISNUMBER(SEARCH("Dinner",$C88)),$D88="Chinese"),RAND(),"")</f>
        <v/>
      </c>
      <c r="O88" s="28">
        <f>IF(AND(ISNUMBER(SEARCH("Dinner",$C88)),$D88="Western"),RAND(),"")</f>
        <v/>
      </c>
    </row>
    <row r="89" ht="15.75" customHeight="1" s="36">
      <c r="A89" s="18" t="inlineStr">
        <is>
          <t>Chicken Salad</t>
        </is>
      </c>
      <c r="B89" s="18" t="inlineStr">
        <is>
          <t>Chicken Breast, Spinach, Eggs, Mayonaise, Miso</t>
        </is>
      </c>
      <c r="C89" s="17" t="inlineStr">
        <is>
          <t>Lunch</t>
        </is>
      </c>
      <c r="D89" s="30" t="inlineStr">
        <is>
          <t>Western</t>
        </is>
      </c>
      <c r="E89" s="17" t="inlineStr">
        <is>
          <t>Low</t>
        </is>
      </c>
      <c r="F89" s="19" t="inlineStr">
        <is>
          <t>https://www.instagram.com/reel/DPQ6rsFFH2D/?igsh=MXBydThoOXdmYTNuOA==</t>
        </is>
      </c>
      <c r="G89" s="27">
        <f>IF(AND(ISNUMBER(SEARCH("Breakfast",$C89)),$D89="Asian"),RAND(),"")</f>
        <v/>
      </c>
      <c r="H89" s="27">
        <f>IF(AND(ISNUMBER(SEARCH("Breakfast",$C89)),$D89="Chinese"),RAND(),"")</f>
        <v/>
      </c>
      <c r="I89" s="27">
        <f>IF(AND(ISNUMBER(SEARCH("Breakfast",$C89)),$D89="Western"),RAND(),"")</f>
        <v/>
      </c>
      <c r="J89" s="27">
        <f>IF(AND(ISNUMBER(SEARCH("Lunch",$C89)),$D89="Asian"),RAND(),"")</f>
        <v/>
      </c>
      <c r="K89" s="27">
        <f>IF(AND(ISNUMBER(SEARCH("Lunch",$C89)),$D89="Chinese"),RAND(),"")</f>
        <v/>
      </c>
      <c r="L89" s="27">
        <f>IF(AND(ISNUMBER(SEARCH("Lunch",$C89)),$D89="Western"),RAND(),"")</f>
        <v/>
      </c>
      <c r="M89" s="27">
        <f>IF(AND(ISNUMBER(SEARCH("Dinner",$C89)),$D89="Asian"),RAND(),"")</f>
        <v/>
      </c>
      <c r="N89" s="27">
        <f>IF(AND(ISNUMBER(SEARCH("Dinner",$C89)),$D89="Chinese"),RAND(),"")</f>
        <v/>
      </c>
      <c r="O89" s="27">
        <f>IF(AND(ISNUMBER(SEARCH("Dinner",$C89)),$D89="Western"),RAND(),"")</f>
        <v/>
      </c>
    </row>
    <row r="90" ht="15.75" customHeight="1" s="36">
      <c r="A90" s="22" t="inlineStr">
        <is>
          <t>Chicken skewers</t>
        </is>
      </c>
      <c r="B90" s="22" t="inlineStr">
        <is>
          <t>Chicken thigh, Lemon, Onion powder, Garlic powder, Garlic, Paprika, Butter</t>
        </is>
      </c>
      <c r="C90" s="21" t="inlineStr">
        <is>
          <t>Dinner</t>
        </is>
      </c>
      <c r="D90" s="30" t="inlineStr">
        <is>
          <t>Western</t>
        </is>
      </c>
      <c r="E90" s="21" t="inlineStr">
        <is>
          <t>Low</t>
        </is>
      </c>
      <c r="F90" s="23" t="inlineStr">
        <is>
          <t>https://www.instagram.com/reel/CwEWvadqRBI/?igshid=MzRlODBiNWFlZA==</t>
        </is>
      </c>
      <c r="G90" s="28">
        <f>IF(AND(ISNUMBER(SEARCH("Breakfast",$C90)),$D90="Asian"),RAND(),"")</f>
        <v/>
      </c>
      <c r="H90" s="28">
        <f>IF(AND(ISNUMBER(SEARCH("Breakfast",$C90)),$D90="Chinese"),RAND(),"")</f>
        <v/>
      </c>
      <c r="I90" s="28">
        <f>IF(AND(ISNUMBER(SEARCH("Breakfast",$C90)),$D90="Western"),RAND(),"")</f>
        <v/>
      </c>
      <c r="J90" s="28">
        <f>IF(AND(ISNUMBER(SEARCH("Lunch",$C90)),$D90="Asian"),RAND(),"")</f>
        <v/>
      </c>
      <c r="K90" s="28">
        <f>IF(AND(ISNUMBER(SEARCH("Lunch",$C90)),$D90="Chinese"),RAND(),"")</f>
        <v/>
      </c>
      <c r="L90" s="28">
        <f>IF(AND(ISNUMBER(SEARCH("Lunch",$C90)),$D90="Western"),RAND(),"")</f>
        <v/>
      </c>
      <c r="M90" s="28">
        <f>IF(AND(ISNUMBER(SEARCH("Dinner",$C90)),$D90="Asian"),RAND(),"")</f>
        <v/>
      </c>
      <c r="N90" s="28">
        <f>IF(AND(ISNUMBER(SEARCH("Dinner",$C90)),$D90="Chinese"),RAND(),"")</f>
        <v/>
      </c>
      <c r="O90" s="28">
        <f>IF(AND(ISNUMBER(SEARCH("Dinner",$C90)),$D90="Western"),RAND(),"")</f>
        <v/>
      </c>
    </row>
    <row r="91" ht="15.75" customHeight="1" s="36">
      <c r="A91" s="18" t="inlineStr">
        <is>
          <t>Chicken Soup</t>
        </is>
      </c>
      <c r="B91" s="18" t="inlineStr">
        <is>
          <t>Goji, Drumstick, ginger, Garlic, Coriander, Lemon, White Sesame, Sugar, Oyster Sauce, Soya Sauce, Vinegar, Sesame Oil, Chicken Thigh, Corn, Dong Gu, Brown Mushroom, Red Dates, Rice Wine, Herbal Chicken Pack, Black Chicken</t>
        </is>
      </c>
      <c r="C91" s="17" t="inlineStr">
        <is>
          <t>Dinner</t>
        </is>
      </c>
      <c r="D91" s="26" t="inlineStr">
        <is>
          <t>Chinese</t>
        </is>
      </c>
      <c r="E91" s="17" t="inlineStr">
        <is>
          <t>High</t>
        </is>
      </c>
      <c r="F91" s="19" t="inlineStr">
        <is>
          <t>https://www.instagram.com/reel/CoPkIDYhLVd/?igshid=YmMyMTA2M2Y=</t>
        </is>
      </c>
      <c r="G91" s="27">
        <f>IF(AND(ISNUMBER(SEARCH("Breakfast",$C91)),$D91="Asian"),RAND(),"")</f>
        <v/>
      </c>
      <c r="H91" s="27">
        <f>IF(AND(ISNUMBER(SEARCH("Breakfast",$C91)),$D91="Chinese"),RAND(),"")</f>
        <v/>
      </c>
      <c r="I91" s="27">
        <f>IF(AND(ISNUMBER(SEARCH("Breakfast",$C91)),$D91="Western"),RAND(),"")</f>
        <v/>
      </c>
      <c r="J91" s="27">
        <f>IF(AND(ISNUMBER(SEARCH("Lunch",$C91)),$D91="Asian"),RAND(),"")</f>
        <v/>
      </c>
      <c r="K91" s="27">
        <f>IF(AND(ISNUMBER(SEARCH("Lunch",$C91)),$D91="Chinese"),RAND(),"")</f>
        <v/>
      </c>
      <c r="L91" s="27">
        <f>IF(AND(ISNUMBER(SEARCH("Lunch",$C91)),$D91="Western"),RAND(),"")</f>
        <v/>
      </c>
      <c r="M91" s="27">
        <f>IF(AND(ISNUMBER(SEARCH("Dinner",$C91)),$D91="Asian"),RAND(),"")</f>
        <v/>
      </c>
      <c r="N91" s="27">
        <f>IF(AND(ISNUMBER(SEARCH("Dinner",$C91)),$D91="Chinese"),RAND(),"")</f>
        <v/>
      </c>
      <c r="O91" s="27">
        <f>IF(AND(ISNUMBER(SEARCH("Dinner",$C91)),$D91="Western"),RAND(),"")</f>
        <v/>
      </c>
      <c r="P91" s="0" t="b">
        <v>1</v>
      </c>
    </row>
    <row r="92" ht="15.75" customHeight="1" s="36">
      <c r="A92" s="22" t="inlineStr">
        <is>
          <t>Chicken Stock Tofu Soup</t>
        </is>
      </c>
      <c r="B92" s="22" t="inlineStr">
        <is>
          <t>chicken wings, kelp, Ginger, Leek, Tofu</t>
        </is>
      </c>
      <c r="C92" s="21" t="inlineStr">
        <is>
          <t>Dinner</t>
        </is>
      </c>
      <c r="D92" s="26" t="inlineStr">
        <is>
          <t>Chinese</t>
        </is>
      </c>
      <c r="E92" s="21" t="inlineStr">
        <is>
          <t>Med</t>
        </is>
      </c>
      <c r="F92" s="23" t="inlineStr">
        <is>
          <t>https://www.instagram.com/reel/DGSOYFpRnZh/?utm_source=ig_web_copy_link</t>
        </is>
      </c>
      <c r="G92" s="28">
        <f>IF(AND(ISNUMBER(SEARCH("Breakfast",$C92)),$D92="Asian"),RAND(),"")</f>
        <v/>
      </c>
      <c r="H92" s="28">
        <f>IF(AND(ISNUMBER(SEARCH("Breakfast",$C92)),$D92="Chinese"),RAND(),"")</f>
        <v/>
      </c>
      <c r="I92" s="28">
        <f>IF(AND(ISNUMBER(SEARCH("Breakfast",$C92)),$D92="Western"),RAND(),"")</f>
        <v/>
      </c>
      <c r="J92" s="28">
        <f>IF(AND(ISNUMBER(SEARCH("Lunch",$C92)),$D92="Asian"),RAND(),"")</f>
        <v/>
      </c>
      <c r="K92" s="28">
        <f>IF(AND(ISNUMBER(SEARCH("Lunch",$C92)),$D92="Chinese"),RAND(),"")</f>
        <v/>
      </c>
      <c r="L92" s="28">
        <f>IF(AND(ISNUMBER(SEARCH("Lunch",$C92)),$D92="Western"),RAND(),"")</f>
        <v/>
      </c>
      <c r="M92" s="28">
        <f>IF(AND(ISNUMBER(SEARCH("Dinner",$C92)),$D92="Asian"),RAND(),"")</f>
        <v/>
      </c>
      <c r="N92" s="28">
        <f>IF(AND(ISNUMBER(SEARCH("Dinner",$C92)),$D92="Chinese"),RAND(),"")</f>
        <v/>
      </c>
      <c r="O92" s="28">
        <f>IF(AND(ISNUMBER(SEARCH("Dinner",$C92)),$D92="Western"),RAND(),"")</f>
        <v/>
      </c>
      <c r="P92" s="0" t="b">
        <v>1</v>
      </c>
    </row>
    <row r="93" ht="15.75" customHeight="1" s="36">
      <c r="A93" s="18" t="inlineStr">
        <is>
          <t>Chicken Teriyaki</t>
        </is>
      </c>
      <c r="B93" s="18" t="inlineStr">
        <is>
          <t>Soya Sauce, Orange, Garlic Powder, Ginger, Honey, Chicken Thighs, Corn Starch</t>
        </is>
      </c>
      <c r="C93" s="17" t="inlineStr">
        <is>
          <t>Dinner</t>
        </is>
      </c>
      <c r="D93" s="29" t="inlineStr">
        <is>
          <t>Asian</t>
        </is>
      </c>
      <c r="E93" s="17" t="inlineStr">
        <is>
          <t>Med</t>
        </is>
      </c>
      <c r="F93" s="19" t="inlineStr">
        <is>
          <t>https://www.instagram.com/reel/CqdPQuRjYVH/?igshid=MzRlODBiNWFlZA==</t>
        </is>
      </c>
      <c r="G93" s="27">
        <f>IF(AND(ISNUMBER(SEARCH("Breakfast",$C93)),$D93="Asian"),RAND(),"")</f>
        <v/>
      </c>
      <c r="H93" s="27">
        <f>IF(AND(ISNUMBER(SEARCH("Breakfast",$C93)),$D93="Chinese"),RAND(),"")</f>
        <v/>
      </c>
      <c r="I93" s="27">
        <f>IF(AND(ISNUMBER(SEARCH("Breakfast",$C93)),$D93="Western"),RAND(),"")</f>
        <v/>
      </c>
      <c r="J93" s="27">
        <f>IF(AND(ISNUMBER(SEARCH("Lunch",$C93)),$D93="Asian"),RAND(),"")</f>
        <v/>
      </c>
      <c r="K93" s="27">
        <f>IF(AND(ISNUMBER(SEARCH("Lunch",$C93)),$D93="Chinese"),RAND(),"")</f>
        <v/>
      </c>
      <c r="L93" s="27">
        <f>IF(AND(ISNUMBER(SEARCH("Lunch",$C93)),$D93="Western"),RAND(),"")</f>
        <v/>
      </c>
      <c r="M93" s="27">
        <f>IF(AND(ISNUMBER(SEARCH("Dinner",$C93)),$D93="Asian"),RAND(),"")</f>
        <v/>
      </c>
      <c r="N93" s="27">
        <f>IF(AND(ISNUMBER(SEARCH("Dinner",$C93)),$D93="Chinese"),RAND(),"")</f>
        <v/>
      </c>
      <c r="O93" s="27">
        <f>IF(AND(ISNUMBER(SEARCH("Dinner",$C93)),$D93="Western"),RAND(),"")</f>
        <v/>
      </c>
    </row>
    <row r="94" ht="15.75" customHeight="1" s="36">
      <c r="A94" s="22" t="inlineStr">
        <is>
          <t>Chicken Thigh</t>
        </is>
      </c>
      <c r="B94" s="22" t="inlineStr">
        <is>
          <t>Boneless Chicken Thigh, Fish Sauce, Lemon, Sugar, 花椒油, Soya Sauce, Garlic, Coriander, Cilantro, Lime, Garlic Cloves, Cumin, Chilli Powder, Black Pepper, King Oyster Mushroom, Onion, Spring Onion, Mirin, Miso, Potato, Carrot, Chick Stock, Butter</t>
        </is>
      </c>
      <c r="C94" s="21" t="inlineStr">
        <is>
          <t>Dinner</t>
        </is>
      </c>
      <c r="D94" s="29" t="inlineStr">
        <is>
          <t>Asian</t>
        </is>
      </c>
      <c r="E94" s="21" t="inlineStr">
        <is>
          <t>High</t>
        </is>
      </c>
      <c r="F94" s="23" t="inlineStr">
        <is>
          <t>https://icook.tw/recipes/406840?utm_source=copy&amp;utm_medium=sharev3&amp;utm_campaign=recipe-share</t>
        </is>
      </c>
      <c r="G94" s="28">
        <f>IF(AND(ISNUMBER(SEARCH("Breakfast",$C94)),$D94="Asian"),RAND(),"")</f>
        <v/>
      </c>
      <c r="H94" s="28">
        <f>IF(AND(ISNUMBER(SEARCH("Breakfast",$C94)),$D94="Chinese"),RAND(),"")</f>
        <v/>
      </c>
      <c r="I94" s="28">
        <f>IF(AND(ISNUMBER(SEARCH("Breakfast",$C94)),$D94="Western"),RAND(),"")</f>
        <v/>
      </c>
      <c r="J94" s="28">
        <f>IF(AND(ISNUMBER(SEARCH("Lunch",$C94)),$D94="Asian"),RAND(),"")</f>
        <v/>
      </c>
      <c r="K94" s="28">
        <f>IF(AND(ISNUMBER(SEARCH("Lunch",$C94)),$D94="Chinese"),RAND(),"")</f>
        <v/>
      </c>
      <c r="L94" s="28">
        <f>IF(AND(ISNUMBER(SEARCH("Lunch",$C94)),$D94="Western"),RAND(),"")</f>
        <v/>
      </c>
      <c r="M94" s="28">
        <f>IF(AND(ISNUMBER(SEARCH("Dinner",$C94)),$D94="Asian"),RAND(),"")</f>
        <v/>
      </c>
      <c r="N94" s="28">
        <f>IF(AND(ISNUMBER(SEARCH("Dinner",$C94)),$D94="Chinese"),RAND(),"")</f>
        <v/>
      </c>
      <c r="O94" s="28">
        <f>IF(AND(ISNUMBER(SEARCH("Dinner",$C94)),$D94="Western"),RAND(),"")</f>
        <v/>
      </c>
    </row>
    <row r="95" ht="15.75" customHeight="1" s="36">
      <c r="A95" s="18" t="inlineStr">
        <is>
          <t>Chicken Vegetable Stew</t>
        </is>
      </c>
      <c r="B95" s="18" t="inlineStr">
        <is>
          <t>Chicken Thigh, Onion, Wawacai, Pumpkin, Shimeiji Mushroom, Shiitake Mushroom, Carrots, Spring Onion, Soy Sauce, Shaoxing Wine, Minced Garlic, Black Pepper</t>
        </is>
      </c>
      <c r="C95" s="17" t="inlineStr">
        <is>
          <t>Dinner</t>
        </is>
      </c>
      <c r="D95" s="30" t="inlineStr">
        <is>
          <t>Western</t>
        </is>
      </c>
      <c r="E95" s="17" t="inlineStr">
        <is>
          <t>Low</t>
        </is>
      </c>
      <c r="F95" s="19" t="inlineStr">
        <is>
          <t>https://www.instagram.com/reel/DQb3EzwEsdU/?utm_source=ig_web_button_share_sheet</t>
        </is>
      </c>
      <c r="G95" s="27">
        <f>IF(AND(ISNUMBER(SEARCH("Breakfast",$C95)),$D95="Asian"),RAND(),"")</f>
        <v/>
      </c>
      <c r="H95" s="27">
        <f>IF(AND(ISNUMBER(SEARCH("Breakfast",$C95)),$D95="Chinese"),RAND(),"")</f>
        <v/>
      </c>
      <c r="I95" s="27">
        <f>IF(AND(ISNUMBER(SEARCH("Breakfast",$C95)),$D95="Western"),RAND(),"")</f>
        <v/>
      </c>
      <c r="J95" s="27">
        <f>IF(AND(ISNUMBER(SEARCH("Lunch",$C95)),$D95="Asian"),RAND(),"")</f>
        <v/>
      </c>
      <c r="K95" s="27">
        <f>IF(AND(ISNUMBER(SEARCH("Lunch",$C95)),$D95="Chinese"),RAND(),"")</f>
        <v/>
      </c>
      <c r="L95" s="27">
        <f>IF(AND(ISNUMBER(SEARCH("Lunch",$C95)),$D95="Western"),RAND(),"")</f>
        <v/>
      </c>
      <c r="M95" s="27">
        <f>IF(AND(ISNUMBER(SEARCH("Dinner",$C95)),$D95="Asian"),RAND(),"")</f>
        <v/>
      </c>
      <c r="N95" s="27">
        <f>IF(AND(ISNUMBER(SEARCH("Dinner",$C95)),$D95="Chinese"),RAND(),"")</f>
        <v/>
      </c>
      <c r="O95" s="27">
        <f>IF(AND(ISNUMBER(SEARCH("Dinner",$C95)),$D95="Western"),RAND(),"")</f>
        <v/>
      </c>
    </row>
    <row r="96" ht="15.75" customHeight="1" s="36">
      <c r="A96" s="22" t="inlineStr">
        <is>
          <t>Chicken Winter melon Soup</t>
        </is>
      </c>
      <c r="B96" s="22" t="inlineStr">
        <is>
          <t>Chicken Thigh, Ginger, Shiitake Mushrooms, Winter Melon</t>
        </is>
      </c>
      <c r="C96" s="21" t="inlineStr">
        <is>
          <t>Dinner</t>
        </is>
      </c>
      <c r="D96" s="26" t="inlineStr">
        <is>
          <t>Chinese</t>
        </is>
      </c>
      <c r="E96" s="21" t="inlineStr">
        <is>
          <t>Low</t>
        </is>
      </c>
      <c r="F96" s="23" t="inlineStr">
        <is>
          <t>https://www.instagram.com/reel/DOYziPkjtio/?igsh=MWh3eXgyYzZpdmU5aw==</t>
        </is>
      </c>
      <c r="G96" s="28">
        <f>IF(AND(ISNUMBER(SEARCH("Breakfast",$C96)),$D96="Asian"),RAND(),"")</f>
        <v/>
      </c>
      <c r="H96" s="28">
        <f>IF(AND(ISNUMBER(SEARCH("Breakfast",$C96)),$D96="Chinese"),RAND(),"")</f>
        <v/>
      </c>
      <c r="I96" s="28">
        <f>IF(AND(ISNUMBER(SEARCH("Breakfast",$C96)),$D96="Western"),RAND(),"")</f>
        <v/>
      </c>
      <c r="J96" s="28">
        <f>IF(AND(ISNUMBER(SEARCH("Lunch",$C96)),$D96="Asian"),RAND(),"")</f>
        <v/>
      </c>
      <c r="K96" s="28">
        <f>IF(AND(ISNUMBER(SEARCH("Lunch",$C96)),$D96="Chinese"),RAND(),"")</f>
        <v/>
      </c>
      <c r="L96" s="28">
        <f>IF(AND(ISNUMBER(SEARCH("Lunch",$C96)),$D96="Western"),RAND(),"")</f>
        <v/>
      </c>
      <c r="M96" s="28">
        <f>IF(AND(ISNUMBER(SEARCH("Dinner",$C96)),$D96="Asian"),RAND(),"")</f>
        <v/>
      </c>
      <c r="N96" s="28">
        <f>IF(AND(ISNUMBER(SEARCH("Dinner",$C96)),$D96="Chinese"),RAND(),"")</f>
        <v/>
      </c>
      <c r="O96" s="28">
        <f>IF(AND(ISNUMBER(SEARCH("Dinner",$C96)),$D96="Western"),RAND(),"")</f>
        <v/>
      </c>
      <c r="P96" s="0" t="b">
        <v>1</v>
      </c>
    </row>
    <row r="97" ht="15.75" customHeight="1" s="36">
      <c r="A97" s="22" t="inlineStr">
        <is>
          <t>Chilled Tomato</t>
        </is>
      </c>
      <c r="B97" s="22" t="inlineStr">
        <is>
          <t>Cherry Tomato, Lemon Leaves, Lemon, Sugar</t>
        </is>
      </c>
      <c r="C97" s="21" t="inlineStr">
        <is>
          <t>Dinner</t>
        </is>
      </c>
      <c r="D97" s="30" t="inlineStr">
        <is>
          <t>Western</t>
        </is>
      </c>
      <c r="E97" s="21" t="inlineStr">
        <is>
          <t>Low</t>
        </is>
      </c>
      <c r="F97" s="23" t="inlineStr">
        <is>
          <t>https://www.instagram.com/reel/DY8mwIngR9D/?igsh=ZmF0MTltYnZrZmx4</t>
        </is>
      </c>
      <c r="G97" s="28">
        <f>IF(AND(ISNUMBER(SEARCH("Breakfast",$C97)),$D97="Asian"),RAND(),"")</f>
        <v/>
      </c>
      <c r="H97" s="28">
        <f>IF(AND(ISNUMBER(SEARCH("Breakfast",$C97)),$D97="Chinese"),RAND(),"")</f>
        <v/>
      </c>
      <c r="I97" s="28">
        <f>IF(AND(ISNUMBER(SEARCH("Breakfast",$C97)),$D97="Western"),RAND(),"")</f>
        <v/>
      </c>
      <c r="J97" s="28">
        <f>IF(AND(ISNUMBER(SEARCH("Lunch",$C97)),$D97="Asian"),RAND(),"")</f>
        <v/>
      </c>
      <c r="K97" s="28">
        <f>IF(AND(ISNUMBER(SEARCH("Lunch",$C97)),$D97="Chinese"),RAND(),"")</f>
        <v/>
      </c>
      <c r="L97" s="28">
        <f>IF(AND(ISNUMBER(SEARCH("Lunch",$C97)),$D97="Western"),RAND(),"")</f>
        <v/>
      </c>
      <c r="M97" s="28">
        <f>IF(AND(ISNUMBER(SEARCH("Dinner",$C97)),$D97="Asian"),RAND(),"")</f>
        <v/>
      </c>
      <c r="N97" s="28">
        <f>IF(AND(ISNUMBER(SEARCH("Dinner",$C97)),$D97="Chinese"),RAND(),"")</f>
        <v/>
      </c>
      <c r="O97" s="28">
        <f>IF(AND(ISNUMBER(SEARCH("Dinner",$C97)),$D97="Western"),RAND(),"")</f>
        <v/>
      </c>
    </row>
    <row r="98" ht="15.75" customHeight="1" s="36">
      <c r="A98" s="18" t="inlineStr">
        <is>
          <t>Chinese Rice</t>
        </is>
      </c>
      <c r="B98" s="18" t="inlineStr">
        <is>
          <t>Rice, Chinese Sausage, Shiitake Mushroom, Onion, Corn, Soy Sauce, Chicken Stock, Oyster Sauce, Zucchini</t>
        </is>
      </c>
      <c r="C98" s="17" t="inlineStr">
        <is>
          <t>Dinner</t>
        </is>
      </c>
      <c r="D98" s="26" t="inlineStr">
        <is>
          <t>Chinese</t>
        </is>
      </c>
      <c r="E98" s="17" t="inlineStr">
        <is>
          <t>Med</t>
        </is>
      </c>
      <c r="F98" s="19" t="inlineStr">
        <is>
          <t>https://www.instagram.com/reel/DKKl_viJfov/?igsh=cjJhY3d0aHp3ZjYx</t>
        </is>
      </c>
      <c r="G98" s="27">
        <f>IF(AND(ISNUMBER(SEARCH("Breakfast",$C98)),$D98="Asian"),RAND(),"")</f>
        <v/>
      </c>
      <c r="H98" s="27">
        <f>IF(AND(ISNUMBER(SEARCH("Breakfast",$C98)),$D98="Chinese"),RAND(),"")</f>
        <v/>
      </c>
      <c r="I98" s="27">
        <f>IF(AND(ISNUMBER(SEARCH("Breakfast",$C98)),$D98="Western"),RAND(),"")</f>
        <v/>
      </c>
      <c r="J98" s="27">
        <f>IF(AND(ISNUMBER(SEARCH("Lunch",$C98)),$D98="Asian"),RAND(),"")</f>
        <v/>
      </c>
      <c r="K98" s="27">
        <f>IF(AND(ISNUMBER(SEARCH("Lunch",$C98)),$D98="Chinese"),RAND(),"")</f>
        <v/>
      </c>
      <c r="L98" s="27">
        <f>IF(AND(ISNUMBER(SEARCH("Lunch",$C98)),$D98="Western"),RAND(),"")</f>
        <v/>
      </c>
      <c r="M98" s="27">
        <f>IF(AND(ISNUMBER(SEARCH("Dinner",$C98)),$D98="Asian"),RAND(),"")</f>
        <v/>
      </c>
      <c r="N98" s="27">
        <f>IF(AND(ISNUMBER(SEARCH("Dinner",$C98)),$D98="Chinese"),RAND(),"")</f>
        <v/>
      </c>
      <c r="O98" s="27">
        <f>IF(AND(ISNUMBER(SEARCH("Dinner",$C98)),$D98="Western"),RAND(),"")</f>
        <v/>
      </c>
    </row>
    <row r="99" ht="15.75" customHeight="1" s="36">
      <c r="A99" s="22" t="inlineStr">
        <is>
          <t>Chinese Yam Apple Salad</t>
        </is>
      </c>
      <c r="B99" s="32" t="inlineStr">
        <is>
          <t>山药, apple, White sesame, Mayonaise, Miso, Soy Sauce</t>
        </is>
      </c>
      <c r="C99" s="21" t="inlineStr">
        <is>
          <t>Dinner</t>
        </is>
      </c>
      <c r="D99" s="30" t="inlineStr">
        <is>
          <t>Western</t>
        </is>
      </c>
      <c r="E99" s="21" t="inlineStr">
        <is>
          <t>Low</t>
        </is>
      </c>
      <c r="F99" s="23" t="inlineStr">
        <is>
          <t>https://icook.tw/recipes/395244?utm_source=copy&amp;utm_medium=sharev3&amp;utm_campaign=recipe-share</t>
        </is>
      </c>
      <c r="G99" s="28">
        <f>IF(AND(ISNUMBER(SEARCH("Breakfast",$C99)),$D99="Asian"),RAND(),"")</f>
        <v/>
      </c>
      <c r="H99" s="28">
        <f>IF(AND(ISNUMBER(SEARCH("Breakfast",$C99)),$D99="Chinese"),RAND(),"")</f>
        <v/>
      </c>
      <c r="I99" s="28">
        <f>IF(AND(ISNUMBER(SEARCH("Breakfast",$C99)),$D99="Western"),RAND(),"")</f>
        <v/>
      </c>
      <c r="J99" s="28">
        <f>IF(AND(ISNUMBER(SEARCH("Lunch",$C99)),$D99="Asian"),RAND(),"")</f>
        <v/>
      </c>
      <c r="K99" s="28">
        <f>IF(AND(ISNUMBER(SEARCH("Lunch",$C99)),$D99="Chinese"),RAND(),"")</f>
        <v/>
      </c>
      <c r="L99" s="28">
        <f>IF(AND(ISNUMBER(SEARCH("Lunch",$C99)),$D99="Western"),RAND(),"")</f>
        <v/>
      </c>
      <c r="M99" s="28">
        <f>IF(AND(ISNUMBER(SEARCH("Dinner",$C99)),$D99="Asian"),RAND(),"")</f>
        <v/>
      </c>
      <c r="N99" s="28">
        <f>IF(AND(ISNUMBER(SEARCH("Dinner",$C99)),$D99="Chinese"),RAND(),"")</f>
        <v/>
      </c>
      <c r="O99" s="28">
        <f>IF(AND(ISNUMBER(SEARCH("Dinner",$C99)),$D99="Western"),RAND(),"")</f>
        <v/>
      </c>
    </row>
    <row r="100" ht="15.75" customHeight="1" s="36">
      <c r="A100" s="18" t="inlineStr">
        <is>
          <t>ChiuChow Fish</t>
        </is>
      </c>
      <c r="B100" s="18" t="inlineStr">
        <is>
          <t>Pomfret, Ginger, Dong gu/shitake, 榨菜, Salted Plums, Tomato, Rice Wine, Spring Onion, Coriander, Dong Gu, Sour/Salted Vegatable</t>
        </is>
      </c>
      <c r="C100" s="17" t="inlineStr">
        <is>
          <t>Dinner</t>
        </is>
      </c>
      <c r="D100" s="26" t="inlineStr">
        <is>
          <t>Chinese</t>
        </is>
      </c>
      <c r="E100" s="17" t="inlineStr">
        <is>
          <t>Med</t>
        </is>
      </c>
      <c r="F100" s="19" t="inlineStr">
        <is>
          <t>https://youtu.be/jVipaP3HzUw</t>
        </is>
      </c>
      <c r="G100" s="27">
        <f>IF(AND(ISNUMBER(SEARCH("Breakfast",$C100)),$D100="Asian"),RAND(),"")</f>
        <v/>
      </c>
      <c r="H100" s="27">
        <f>IF(AND(ISNUMBER(SEARCH("Breakfast",$C100)),$D100="Chinese"),RAND(),"")</f>
        <v/>
      </c>
      <c r="I100" s="27">
        <f>IF(AND(ISNUMBER(SEARCH("Breakfast",$C100)),$D100="Western"),RAND(),"")</f>
        <v/>
      </c>
      <c r="J100" s="27">
        <f>IF(AND(ISNUMBER(SEARCH("Lunch",$C100)),$D100="Asian"),RAND(),"")</f>
        <v/>
      </c>
      <c r="K100" s="27">
        <f>IF(AND(ISNUMBER(SEARCH("Lunch",$C100)),$D100="Chinese"),RAND(),"")</f>
        <v/>
      </c>
      <c r="L100" s="27">
        <f>IF(AND(ISNUMBER(SEARCH("Lunch",$C100)),$D100="Western"),RAND(),"")</f>
        <v/>
      </c>
      <c r="M100" s="27">
        <f>IF(AND(ISNUMBER(SEARCH("Dinner",$C100)),$D100="Asian"),RAND(),"")</f>
        <v/>
      </c>
      <c r="N100" s="27">
        <f>IF(AND(ISNUMBER(SEARCH("Dinner",$C100)),$D100="Chinese"),RAND(),"")</f>
        <v/>
      </c>
      <c r="O100" s="27">
        <f>IF(AND(ISNUMBER(SEARCH("Dinner",$C100)),$D100="Western"),RAND(),"")</f>
        <v/>
      </c>
    </row>
    <row r="101" ht="15.75" customHeight="1" s="36">
      <c r="A101" s="22" t="inlineStr">
        <is>
          <t>Cilantro Lime Salmon</t>
        </is>
      </c>
      <c r="B101" s="22" t="inlineStr">
        <is>
          <t>Salmon Fillets, Butter, Garlic, Vegetable Broth, Lime Juice, Honey, Cumin, Cilantro</t>
        </is>
      </c>
      <c r="C101" s="21" t="inlineStr">
        <is>
          <t>Dinner</t>
        </is>
      </c>
      <c r="D101" s="30" t="inlineStr">
        <is>
          <t>Western</t>
        </is>
      </c>
      <c r="E101" s="21" t="inlineStr">
        <is>
          <t>Low</t>
        </is>
      </c>
      <c r="F101" s="23" t="inlineStr">
        <is>
          <t>https://youtu.be/tA7I-OCRSfc</t>
        </is>
      </c>
      <c r="G101" s="28">
        <f>IF(AND(ISNUMBER(SEARCH("Breakfast",$C101)),$D101="Asian"),RAND(),"")</f>
        <v/>
      </c>
      <c r="H101" s="28">
        <f>IF(AND(ISNUMBER(SEARCH("Breakfast",$C101)),$D101="Chinese"),RAND(),"")</f>
        <v/>
      </c>
      <c r="I101" s="28">
        <f>IF(AND(ISNUMBER(SEARCH("Breakfast",$C101)),$D101="Western"),RAND(),"")</f>
        <v/>
      </c>
      <c r="J101" s="28">
        <f>IF(AND(ISNUMBER(SEARCH("Lunch",$C101)),$D101="Asian"),RAND(),"")</f>
        <v/>
      </c>
      <c r="K101" s="28">
        <f>IF(AND(ISNUMBER(SEARCH("Lunch",$C101)),$D101="Chinese"),RAND(),"")</f>
        <v/>
      </c>
      <c r="L101" s="28">
        <f>IF(AND(ISNUMBER(SEARCH("Lunch",$C101)),$D101="Western"),RAND(),"")</f>
        <v/>
      </c>
      <c r="M101" s="28">
        <f>IF(AND(ISNUMBER(SEARCH("Dinner",$C101)),$D101="Asian"),RAND(),"")</f>
        <v/>
      </c>
      <c r="N101" s="28">
        <f>IF(AND(ISNUMBER(SEARCH("Dinner",$C101)),$D101="Chinese"),RAND(),"")</f>
        <v/>
      </c>
      <c r="O101" s="28">
        <f>IF(AND(ISNUMBER(SEARCH("Dinner",$C101)),$D101="Western"),RAND(),"")</f>
        <v/>
      </c>
    </row>
    <row r="102" ht="15.75" customHeight="1" s="36">
      <c r="A102" s="18" t="inlineStr">
        <is>
          <t>Cinnamon Roll Focaccia</t>
        </is>
      </c>
      <c r="B102" s="18" t="inlineStr">
        <is>
          <t>—</t>
        </is>
      </c>
      <c r="C102" s="17" t="inlineStr">
        <is>
          <t>Breakfast</t>
        </is>
      </c>
      <c r="D102" s="30" t="inlineStr">
        <is>
          <t>Western</t>
        </is>
      </c>
      <c r="E102" s="17" t="inlineStr">
        <is>
          <t>High</t>
        </is>
      </c>
      <c r="F102" s="19" t="inlineStr">
        <is>
          <t>https://amybakesbread.com/cinnamon-roll-sourdough-focaccia/</t>
        </is>
      </c>
      <c r="G102" s="27">
        <f>IF(AND(ISNUMBER(SEARCH("Breakfast",$C102)),$D102="Asian"),RAND(),"")</f>
        <v/>
      </c>
      <c r="H102" s="27">
        <f>IF(AND(ISNUMBER(SEARCH("Breakfast",$C102)),$D102="Chinese"),RAND(),"")</f>
        <v/>
      </c>
      <c r="I102" s="27">
        <f>IF(AND(ISNUMBER(SEARCH("Breakfast",$C102)),$D102="Western"),RAND(),"")</f>
        <v/>
      </c>
      <c r="J102" s="27">
        <f>IF(AND(ISNUMBER(SEARCH("Lunch",$C102)),$D102="Asian"),RAND(),"")</f>
        <v/>
      </c>
      <c r="K102" s="27">
        <f>IF(AND(ISNUMBER(SEARCH("Lunch",$C102)),$D102="Chinese"),RAND(),"")</f>
        <v/>
      </c>
      <c r="L102" s="27">
        <f>IF(AND(ISNUMBER(SEARCH("Lunch",$C102)),$D102="Western"),RAND(),"")</f>
        <v/>
      </c>
      <c r="M102" s="27">
        <f>IF(AND(ISNUMBER(SEARCH("Dinner",$C102)),$D102="Asian"),RAND(),"")</f>
        <v/>
      </c>
      <c r="N102" s="27">
        <f>IF(AND(ISNUMBER(SEARCH("Dinner",$C102)),$D102="Chinese"),RAND(),"")</f>
        <v/>
      </c>
      <c r="O102" s="27">
        <f>IF(AND(ISNUMBER(SEARCH("Dinner",$C102)),$D102="Western"),RAND(),"")</f>
        <v/>
      </c>
    </row>
    <row r="103" ht="15.75" customHeight="1" s="36">
      <c r="A103" s="22" t="inlineStr">
        <is>
          <t>Clay pot Rice</t>
        </is>
      </c>
      <c r="B103" s="22" t="inlineStr">
        <is>
          <t>Rice, Sausage, Chicken Thigh, Shimeiji mushroom, Ginger, Soy Sauce, Oyster sauce, Cornstarch</t>
        </is>
      </c>
      <c r="C103" s="21" t="inlineStr">
        <is>
          <t>Dinner</t>
        </is>
      </c>
      <c r="D103" s="30" t="inlineStr">
        <is>
          <t>Western</t>
        </is>
      </c>
      <c r="E103" s="21" t="inlineStr">
        <is>
          <t>Low</t>
        </is>
      </c>
      <c r="F103" s="23" t="inlineStr">
        <is>
          <t>https://icook.tw/recipes/449475?utm_source=copy&amp;utm_medium=sharev3&amp;utm_campaign=recipe-share</t>
        </is>
      </c>
      <c r="G103" s="28">
        <f>IF(AND(ISNUMBER(SEARCH("Breakfast",$C103)),$D103="Asian"),RAND(),"")</f>
        <v/>
      </c>
      <c r="H103" s="28">
        <f>IF(AND(ISNUMBER(SEARCH("Breakfast",$C103)),$D103="Chinese"),RAND(),"")</f>
        <v/>
      </c>
      <c r="I103" s="28">
        <f>IF(AND(ISNUMBER(SEARCH("Breakfast",$C103)),$D103="Western"),RAND(),"")</f>
        <v/>
      </c>
      <c r="J103" s="28">
        <f>IF(AND(ISNUMBER(SEARCH("Lunch",$C103)),$D103="Asian"),RAND(),"")</f>
        <v/>
      </c>
      <c r="K103" s="28">
        <f>IF(AND(ISNUMBER(SEARCH("Lunch",$C103)),$D103="Chinese"),RAND(),"")</f>
        <v/>
      </c>
      <c r="L103" s="28">
        <f>IF(AND(ISNUMBER(SEARCH("Lunch",$C103)),$D103="Western"),RAND(),"")</f>
        <v/>
      </c>
      <c r="M103" s="28">
        <f>IF(AND(ISNUMBER(SEARCH("Dinner",$C103)),$D103="Asian"),RAND(),"")</f>
        <v/>
      </c>
      <c r="N103" s="28">
        <f>IF(AND(ISNUMBER(SEARCH("Dinner",$C103)),$D103="Chinese"),RAND(),"")</f>
        <v/>
      </c>
      <c r="O103" s="28">
        <f>IF(AND(ISNUMBER(SEARCH("Dinner",$C103)),$D103="Western"),RAND(),"")</f>
        <v/>
      </c>
    </row>
    <row r="104" ht="15.75" customHeight="1" s="36">
      <c r="A104" s="18" t="inlineStr">
        <is>
          <t>Coconut Chicken Soup</t>
        </is>
      </c>
      <c r="B104" s="18" t="inlineStr">
        <is>
          <t>Coconut, ma ti, Chicken, Chicken Thigh, Onion, Coconut Water, Red Dates, wawacai, Shimeiji Mushroom, tomato</t>
        </is>
      </c>
      <c r="C104" s="17" t="inlineStr">
        <is>
          <t>Dinner</t>
        </is>
      </c>
      <c r="D104" s="26" t="inlineStr">
        <is>
          <t>Chinese</t>
        </is>
      </c>
      <c r="E104" s="17" t="inlineStr">
        <is>
          <t>Med</t>
        </is>
      </c>
      <c r="F104" s="19" t="inlineStr">
        <is>
          <t>https://www.instagram.com/reel/DNcLGVJzFxJ/?igsh=MTNiYWdkaHA5dWt2cQ==</t>
        </is>
      </c>
      <c r="G104" s="27">
        <f>IF(AND(ISNUMBER(SEARCH("Breakfast",$C104)),$D104="Asian"),RAND(),"")</f>
        <v/>
      </c>
      <c r="H104" s="27">
        <f>IF(AND(ISNUMBER(SEARCH("Breakfast",$C104)),$D104="Chinese"),RAND(),"")</f>
        <v/>
      </c>
      <c r="I104" s="27">
        <f>IF(AND(ISNUMBER(SEARCH("Breakfast",$C104)),$D104="Western"),RAND(),"")</f>
        <v/>
      </c>
      <c r="J104" s="27">
        <f>IF(AND(ISNUMBER(SEARCH("Lunch",$C104)),$D104="Asian"),RAND(),"")</f>
        <v/>
      </c>
      <c r="K104" s="27">
        <f>IF(AND(ISNUMBER(SEARCH("Lunch",$C104)),$D104="Chinese"),RAND(),"")</f>
        <v/>
      </c>
      <c r="L104" s="27">
        <f>IF(AND(ISNUMBER(SEARCH("Lunch",$C104)),$D104="Western"),RAND(),"")</f>
        <v/>
      </c>
      <c r="M104" s="27">
        <f>IF(AND(ISNUMBER(SEARCH("Dinner",$C104)),$D104="Asian"),RAND(),"")</f>
        <v/>
      </c>
      <c r="N104" s="27">
        <f>IF(AND(ISNUMBER(SEARCH("Dinner",$C104)),$D104="Chinese"),RAND(),"")</f>
        <v/>
      </c>
      <c r="O104" s="27">
        <f>IF(AND(ISNUMBER(SEARCH("Dinner",$C104)),$D104="Western"),RAND(),"")</f>
        <v/>
      </c>
      <c r="P104" s="0" t="b">
        <v>1</v>
      </c>
    </row>
    <row r="105" ht="15.75" customHeight="1" s="36">
      <c r="A105" s="22" t="inlineStr">
        <is>
          <t>Coconut Dill Poached Cod</t>
        </is>
      </c>
      <c r="B105" s="22" t="inlineStr">
        <is>
          <t>Cod Fillets, Coconut Milk, Lemon, Dill, Garlic, Ginger</t>
        </is>
      </c>
      <c r="C105" s="21" t="inlineStr">
        <is>
          <t>Lunch</t>
        </is>
      </c>
      <c r="D105" s="30" t="inlineStr">
        <is>
          <t>Western</t>
        </is>
      </c>
      <c r="E105" s="21" t="inlineStr">
        <is>
          <t>Med</t>
        </is>
      </c>
      <c r="F105" s="23" t="inlineStr">
        <is>
          <t>https://www.instagram.com/reel/DBiGecwNUYW/?igsh=MXc0YjIzM2ViNjAzMw==</t>
        </is>
      </c>
      <c r="G105" s="28">
        <f>IF(AND(ISNUMBER(SEARCH("Breakfast",$C105)),$D105="Asian"),RAND(),"")</f>
        <v/>
      </c>
      <c r="H105" s="28">
        <f>IF(AND(ISNUMBER(SEARCH("Breakfast",$C105)),$D105="Chinese"),RAND(),"")</f>
        <v/>
      </c>
      <c r="I105" s="28">
        <f>IF(AND(ISNUMBER(SEARCH("Breakfast",$C105)),$D105="Western"),RAND(),"")</f>
        <v/>
      </c>
      <c r="J105" s="28">
        <f>IF(AND(ISNUMBER(SEARCH("Lunch",$C105)),$D105="Asian"),RAND(),"")</f>
        <v/>
      </c>
      <c r="K105" s="28">
        <f>IF(AND(ISNUMBER(SEARCH("Lunch",$C105)),$D105="Chinese"),RAND(),"")</f>
        <v/>
      </c>
      <c r="L105" s="28">
        <f>IF(AND(ISNUMBER(SEARCH("Lunch",$C105)),$D105="Western"),RAND(),"")</f>
        <v/>
      </c>
      <c r="M105" s="28">
        <f>IF(AND(ISNUMBER(SEARCH("Dinner",$C105)),$D105="Asian"),RAND(),"")</f>
        <v/>
      </c>
      <c r="N105" s="28">
        <f>IF(AND(ISNUMBER(SEARCH("Dinner",$C105)),$D105="Chinese"),RAND(),"")</f>
        <v/>
      </c>
      <c r="O105" s="28">
        <f>IF(AND(ISNUMBER(SEARCH("Dinner",$C105)),$D105="Western"),RAND(),"")</f>
        <v/>
      </c>
    </row>
    <row r="106" ht="15.75" customHeight="1" s="36">
      <c r="A106" s="18" t="inlineStr">
        <is>
          <t>Coconut Lime Tofu</t>
        </is>
      </c>
      <c r="B106" s="18" t="inlineStr">
        <is>
          <t>Extra firm Tofu, Soy Sauce, Olive Oil, Garlic, Ginger, Coconut Milk, Cayenne Pepper, Garlic Powder, Onion Powder, Paprika, Dried parsley, Lime, Cilantro</t>
        </is>
      </c>
      <c r="C106" s="17" t="inlineStr">
        <is>
          <t>Dinner</t>
        </is>
      </c>
      <c r="D106" s="26" t="inlineStr">
        <is>
          <t>Chinese</t>
        </is>
      </c>
      <c r="E106" s="17" t="inlineStr">
        <is>
          <t>Med</t>
        </is>
      </c>
      <c r="F106" s="19" t="inlineStr">
        <is>
          <t>https://www.instagram.com/reel/DJNRoI1JwOb/?igsh=MXVvNHhpMnZ6YTVnZg==</t>
        </is>
      </c>
      <c r="G106" s="27">
        <f>IF(AND(ISNUMBER(SEARCH("Breakfast",$C106)),$D106="Asian"),RAND(),"")</f>
        <v/>
      </c>
      <c r="H106" s="27">
        <f>IF(AND(ISNUMBER(SEARCH("Breakfast",$C106)),$D106="Chinese"),RAND(),"")</f>
        <v/>
      </c>
      <c r="I106" s="27">
        <f>IF(AND(ISNUMBER(SEARCH("Breakfast",$C106)),$D106="Western"),RAND(),"")</f>
        <v/>
      </c>
      <c r="J106" s="27">
        <f>IF(AND(ISNUMBER(SEARCH("Lunch",$C106)),$D106="Asian"),RAND(),"")</f>
        <v/>
      </c>
      <c r="K106" s="27">
        <f>IF(AND(ISNUMBER(SEARCH("Lunch",$C106)),$D106="Chinese"),RAND(),"")</f>
        <v/>
      </c>
      <c r="L106" s="27">
        <f>IF(AND(ISNUMBER(SEARCH("Lunch",$C106)),$D106="Western"),RAND(),"")</f>
        <v/>
      </c>
      <c r="M106" s="27">
        <f>IF(AND(ISNUMBER(SEARCH("Dinner",$C106)),$D106="Asian"),RAND(),"")</f>
        <v/>
      </c>
      <c r="N106" s="27">
        <f>IF(AND(ISNUMBER(SEARCH("Dinner",$C106)),$D106="Chinese"),RAND(),"")</f>
        <v/>
      </c>
      <c r="O106" s="27">
        <f>IF(AND(ISNUMBER(SEARCH("Dinner",$C106)),$D106="Western"),RAND(),"")</f>
        <v/>
      </c>
    </row>
    <row r="107" ht="15.75" customHeight="1" s="36">
      <c r="A107" s="22" t="inlineStr">
        <is>
          <t>Coffee crusted Pork Tenderloin</t>
        </is>
      </c>
      <c r="B107" s="22" t="inlineStr">
        <is>
          <t>Pork Tenderloin, Ground coffee, shallot, cayenne pepper, blueberries, balsamic vinegar</t>
        </is>
      </c>
      <c r="C107" s="21" t="inlineStr">
        <is>
          <t>Dinner</t>
        </is>
      </c>
      <c r="D107" s="30" t="inlineStr">
        <is>
          <t>Western</t>
        </is>
      </c>
      <c r="E107" s="21" t="inlineStr">
        <is>
          <t>Med</t>
        </is>
      </c>
      <c r="F107" s="22" t="n"/>
      <c r="G107" s="28">
        <f>IF(AND(ISNUMBER(SEARCH("Breakfast",$C107)),$D107="Asian"),RAND(),"")</f>
        <v/>
      </c>
      <c r="H107" s="28">
        <f>IF(AND(ISNUMBER(SEARCH("Breakfast",$C107)),$D107="Chinese"),RAND(),"")</f>
        <v/>
      </c>
      <c r="I107" s="28">
        <f>IF(AND(ISNUMBER(SEARCH("Breakfast",$C107)),$D107="Western"),RAND(),"")</f>
        <v/>
      </c>
      <c r="J107" s="28">
        <f>IF(AND(ISNUMBER(SEARCH("Lunch",$C107)),$D107="Asian"),RAND(),"")</f>
        <v/>
      </c>
      <c r="K107" s="28">
        <f>IF(AND(ISNUMBER(SEARCH("Lunch",$C107)),$D107="Chinese"),RAND(),"")</f>
        <v/>
      </c>
      <c r="L107" s="28">
        <f>IF(AND(ISNUMBER(SEARCH("Lunch",$C107)),$D107="Western"),RAND(),"")</f>
        <v/>
      </c>
      <c r="M107" s="28">
        <f>IF(AND(ISNUMBER(SEARCH("Dinner",$C107)),$D107="Asian"),RAND(),"")</f>
        <v/>
      </c>
      <c r="N107" s="28">
        <f>IF(AND(ISNUMBER(SEARCH("Dinner",$C107)),$D107="Chinese"),RAND(),"")</f>
        <v/>
      </c>
      <c r="O107" s="28">
        <f>IF(AND(ISNUMBER(SEARCH("Dinner",$C107)),$D107="Western"),RAND(),"")</f>
        <v/>
      </c>
    </row>
    <row r="108" ht="15.75" customHeight="1" s="36">
      <c r="A108" s="18" t="inlineStr">
        <is>
          <t>Cola chicken wing</t>
        </is>
      </c>
      <c r="B108" s="18" t="inlineStr">
        <is>
          <t>Chicken wing, Cooking wine, Dark soy sauce, Light soy sauce, Cola, Green onion, Ginger</t>
        </is>
      </c>
      <c r="C108" s="17" t="inlineStr">
        <is>
          <t>Dinner</t>
        </is>
      </c>
      <c r="D108" s="26" t="inlineStr">
        <is>
          <t>Chinese</t>
        </is>
      </c>
      <c r="E108" s="17" t="inlineStr">
        <is>
          <t>Low</t>
        </is>
      </c>
      <c r="F108" s="18" t="n"/>
      <c r="G108" s="27">
        <f>IF(AND(ISNUMBER(SEARCH("Breakfast",$C108)),$D108="Asian"),RAND(),"")</f>
        <v/>
      </c>
      <c r="H108" s="27">
        <f>IF(AND(ISNUMBER(SEARCH("Breakfast",$C108)),$D108="Chinese"),RAND(),"")</f>
        <v/>
      </c>
      <c r="I108" s="27">
        <f>IF(AND(ISNUMBER(SEARCH("Breakfast",$C108)),$D108="Western"),RAND(),"")</f>
        <v/>
      </c>
      <c r="J108" s="27">
        <f>IF(AND(ISNUMBER(SEARCH("Lunch",$C108)),$D108="Asian"),RAND(),"")</f>
        <v/>
      </c>
      <c r="K108" s="27">
        <f>IF(AND(ISNUMBER(SEARCH("Lunch",$C108)),$D108="Chinese"),RAND(),"")</f>
        <v/>
      </c>
      <c r="L108" s="27">
        <f>IF(AND(ISNUMBER(SEARCH("Lunch",$C108)),$D108="Western"),RAND(),"")</f>
        <v/>
      </c>
      <c r="M108" s="27">
        <f>IF(AND(ISNUMBER(SEARCH("Dinner",$C108)),$D108="Asian"),RAND(),"")</f>
        <v/>
      </c>
      <c r="N108" s="27">
        <f>IF(AND(ISNUMBER(SEARCH("Dinner",$C108)),$D108="Chinese"),RAND(),"")</f>
        <v/>
      </c>
      <c r="O108" s="27">
        <f>IF(AND(ISNUMBER(SEARCH("Dinner",$C108)),$D108="Western"),RAND(),"")</f>
        <v/>
      </c>
    </row>
    <row r="109" ht="15.75" customHeight="1" s="36">
      <c r="A109" s="22" t="inlineStr">
        <is>
          <t>Cold Mix Vege</t>
        </is>
      </c>
      <c r="B109" s="22" t="inlineStr">
        <is>
          <t>Enoki Mushroom, Carrot, Small Cucumber, Garlic, Spring Onion</t>
        </is>
      </c>
      <c r="C109" s="21" t="inlineStr">
        <is>
          <t>Dinner</t>
        </is>
      </c>
      <c r="D109" s="29" t="inlineStr">
        <is>
          <t>Asian</t>
        </is>
      </c>
      <c r="E109" s="21" t="inlineStr">
        <is>
          <t>Low</t>
        </is>
      </c>
      <c r="F109" s="23" t="inlineStr">
        <is>
          <t>https://icook.tw/recipes/393765?utm_source=copy&amp;utm_medium=sharev3&amp;utm_campaign=recipe-share</t>
        </is>
      </c>
      <c r="G109" s="28">
        <f>IF(AND(ISNUMBER(SEARCH("Breakfast",$C109)),$D109="Asian"),RAND(),"")</f>
        <v/>
      </c>
      <c r="H109" s="28">
        <f>IF(AND(ISNUMBER(SEARCH("Breakfast",$C109)),$D109="Chinese"),RAND(),"")</f>
        <v/>
      </c>
      <c r="I109" s="28">
        <f>IF(AND(ISNUMBER(SEARCH("Breakfast",$C109)),$D109="Western"),RAND(),"")</f>
        <v/>
      </c>
      <c r="J109" s="28">
        <f>IF(AND(ISNUMBER(SEARCH("Lunch",$C109)),$D109="Asian"),RAND(),"")</f>
        <v/>
      </c>
      <c r="K109" s="28">
        <f>IF(AND(ISNUMBER(SEARCH("Lunch",$C109)),$D109="Chinese"),RAND(),"")</f>
        <v/>
      </c>
      <c r="L109" s="28">
        <f>IF(AND(ISNUMBER(SEARCH("Lunch",$C109)),$D109="Western"),RAND(),"")</f>
        <v/>
      </c>
      <c r="M109" s="28">
        <f>IF(AND(ISNUMBER(SEARCH("Dinner",$C109)),$D109="Asian"),RAND(),"")</f>
        <v/>
      </c>
      <c r="N109" s="28">
        <f>IF(AND(ISNUMBER(SEARCH("Dinner",$C109)),$D109="Chinese"),RAND(),"")</f>
        <v/>
      </c>
      <c r="O109" s="28">
        <f>IF(AND(ISNUMBER(SEARCH("Dinner",$C109)),$D109="Western"),RAND(),"")</f>
        <v/>
      </c>
    </row>
    <row r="110" ht="15.75" customHeight="1" s="36">
      <c r="A110" s="18" t="inlineStr">
        <is>
          <t>Corn pancake</t>
        </is>
      </c>
      <c r="B110" s="18" t="inlineStr">
        <is>
          <t>Corn Can, Corn Starch, olive Oil, mozzarella</t>
        </is>
      </c>
      <c r="C110" s="17" t="inlineStr">
        <is>
          <t>Lunch</t>
        </is>
      </c>
      <c r="D110" s="30" t="inlineStr">
        <is>
          <t>Western</t>
        </is>
      </c>
      <c r="E110" s="17" t="inlineStr">
        <is>
          <t>High</t>
        </is>
      </c>
      <c r="F110" s="19" t="inlineStr">
        <is>
          <t>https://www.youtube.com/watch?v=Ldx8cV_aeXM&amp;si=1213Gvx6mGuMBzWQ</t>
        </is>
      </c>
      <c r="G110" s="27">
        <f>IF(AND(ISNUMBER(SEARCH("Breakfast",$C110)),$D110="Asian"),RAND(),"")</f>
        <v/>
      </c>
      <c r="H110" s="27">
        <f>IF(AND(ISNUMBER(SEARCH("Breakfast",$C110)),$D110="Chinese"),RAND(),"")</f>
        <v/>
      </c>
      <c r="I110" s="27">
        <f>IF(AND(ISNUMBER(SEARCH("Breakfast",$C110)),$D110="Western"),RAND(),"")</f>
        <v/>
      </c>
      <c r="J110" s="27">
        <f>IF(AND(ISNUMBER(SEARCH("Lunch",$C110)),$D110="Asian"),RAND(),"")</f>
        <v/>
      </c>
      <c r="K110" s="27">
        <f>IF(AND(ISNUMBER(SEARCH("Lunch",$C110)),$D110="Chinese"),RAND(),"")</f>
        <v/>
      </c>
      <c r="L110" s="27">
        <f>IF(AND(ISNUMBER(SEARCH("Lunch",$C110)),$D110="Western"),RAND(),"")</f>
        <v/>
      </c>
      <c r="M110" s="27">
        <f>IF(AND(ISNUMBER(SEARCH("Dinner",$C110)),$D110="Asian"),RAND(),"")</f>
        <v/>
      </c>
      <c r="N110" s="27">
        <f>IF(AND(ISNUMBER(SEARCH("Dinner",$C110)),$D110="Chinese"),RAND(),"")</f>
        <v/>
      </c>
      <c r="O110" s="27">
        <f>IF(AND(ISNUMBER(SEARCH("Dinner",$C110)),$D110="Western"),RAND(),"")</f>
        <v/>
      </c>
    </row>
    <row r="111" ht="15.75" customHeight="1" s="36">
      <c r="A111" s="22" t="inlineStr">
        <is>
          <t>couscous fig salad</t>
        </is>
      </c>
      <c r="B111" s="22" t="inlineStr">
        <is>
          <t>Couscous, Fig, green onion, Pomegranate, olive oil, lemon</t>
        </is>
      </c>
      <c r="C111" s="21" t="inlineStr">
        <is>
          <t>Lunch</t>
        </is>
      </c>
      <c r="D111" s="30" t="inlineStr">
        <is>
          <t>Western</t>
        </is>
      </c>
      <c r="E111" s="21" t="inlineStr">
        <is>
          <t>High</t>
        </is>
      </c>
      <c r="F111" s="23" t="inlineStr">
        <is>
          <t>https://www.kitchenstories.com/en/recipes/middle-eastern-couscous-salad-with-figs</t>
        </is>
      </c>
      <c r="G111" s="28">
        <f>IF(AND(ISNUMBER(SEARCH("Breakfast",$C111)),$D111="Asian"),RAND(),"")</f>
        <v/>
      </c>
      <c r="H111" s="28">
        <f>IF(AND(ISNUMBER(SEARCH("Breakfast",$C111)),$D111="Chinese"),RAND(),"")</f>
        <v/>
      </c>
      <c r="I111" s="28">
        <f>IF(AND(ISNUMBER(SEARCH("Breakfast",$C111)),$D111="Western"),RAND(),"")</f>
        <v/>
      </c>
      <c r="J111" s="28">
        <f>IF(AND(ISNUMBER(SEARCH("Lunch",$C111)),$D111="Asian"),RAND(),"")</f>
        <v/>
      </c>
      <c r="K111" s="28">
        <f>IF(AND(ISNUMBER(SEARCH("Lunch",$C111)),$D111="Chinese"),RAND(),"")</f>
        <v/>
      </c>
      <c r="L111" s="28">
        <f>IF(AND(ISNUMBER(SEARCH("Lunch",$C111)),$D111="Western"),RAND(),"")</f>
        <v/>
      </c>
      <c r="M111" s="28">
        <f>IF(AND(ISNUMBER(SEARCH("Dinner",$C111)),$D111="Asian"),RAND(),"")</f>
        <v/>
      </c>
      <c r="N111" s="28">
        <f>IF(AND(ISNUMBER(SEARCH("Dinner",$C111)),$D111="Chinese"),RAND(),"")</f>
        <v/>
      </c>
      <c r="O111" s="28">
        <f>IF(AND(ISNUMBER(SEARCH("Dinner",$C111)),$D111="Western"),RAND(),"")</f>
        <v/>
      </c>
    </row>
    <row r="112" ht="15.75" customHeight="1" s="36">
      <c r="A112" s="18" t="inlineStr">
        <is>
          <t>Couscous Salad</t>
        </is>
      </c>
      <c r="B112" s="18" t="inlineStr">
        <is>
          <t>Couscous, Olive Oil, Dijon Mustard, Honey, Lemon, Cucumber, Tomato, Basil, Mixed Nuts, + canned tuna</t>
        </is>
      </c>
      <c r="C112" s="17" t="inlineStr">
        <is>
          <t>Lunch</t>
        </is>
      </c>
      <c r="D112" s="30" t="inlineStr">
        <is>
          <t>Western</t>
        </is>
      </c>
      <c r="E112" s="17" t="inlineStr">
        <is>
          <t>High</t>
        </is>
      </c>
      <c r="F112" s="19" t="inlineStr">
        <is>
          <t>https://www.inspiredtaste.net/12689/lemon-and-herb-couscous-salad-recipe/</t>
        </is>
      </c>
      <c r="G112" s="27">
        <f>IF(AND(ISNUMBER(SEARCH("Breakfast",$C112)),$D112="Asian"),RAND(),"")</f>
        <v/>
      </c>
      <c r="H112" s="27">
        <f>IF(AND(ISNUMBER(SEARCH("Breakfast",$C112)),$D112="Chinese"),RAND(),"")</f>
        <v/>
      </c>
      <c r="I112" s="27">
        <f>IF(AND(ISNUMBER(SEARCH("Breakfast",$C112)),$D112="Western"),RAND(),"")</f>
        <v/>
      </c>
      <c r="J112" s="27">
        <f>IF(AND(ISNUMBER(SEARCH("Lunch",$C112)),$D112="Asian"),RAND(),"")</f>
        <v/>
      </c>
      <c r="K112" s="27">
        <f>IF(AND(ISNUMBER(SEARCH("Lunch",$C112)),$D112="Chinese"),RAND(),"")</f>
        <v/>
      </c>
      <c r="L112" s="27">
        <f>IF(AND(ISNUMBER(SEARCH("Lunch",$C112)),$D112="Western"),RAND(),"")</f>
        <v/>
      </c>
      <c r="M112" s="27">
        <f>IF(AND(ISNUMBER(SEARCH("Dinner",$C112)),$D112="Asian"),RAND(),"")</f>
        <v/>
      </c>
      <c r="N112" s="27">
        <f>IF(AND(ISNUMBER(SEARCH("Dinner",$C112)),$D112="Chinese"),RAND(),"")</f>
        <v/>
      </c>
      <c r="O112" s="27">
        <f>IF(AND(ISNUMBER(SEARCH("Dinner",$C112)),$D112="Western"),RAND(),"")</f>
        <v/>
      </c>
    </row>
    <row r="113" ht="15.75" customHeight="1" s="36">
      <c r="A113" s="22" t="inlineStr">
        <is>
          <t>Crab meat summer rolls</t>
        </is>
      </c>
      <c r="B113" s="22" t="inlineStr">
        <is>
          <t>Can Crab Meat, Mayonaise, Lime juice, Red Bell Pepper, Cucumber, Mango, Avocado, Rice Paper, TangHoon, Cilantro, Vietnam Meat</t>
        </is>
      </c>
      <c r="C113" s="21" t="inlineStr">
        <is>
          <t>Dinner</t>
        </is>
      </c>
      <c r="D113" s="29" t="inlineStr">
        <is>
          <t>Asian</t>
        </is>
      </c>
      <c r="E113" s="21" t="inlineStr">
        <is>
          <t>High</t>
        </is>
      </c>
      <c r="F113" s="23" t="inlineStr">
        <is>
          <t>https://www.skh.com/blog/canned-crab-meat-recipes/</t>
        </is>
      </c>
      <c r="G113" s="28">
        <f>IF(AND(ISNUMBER(SEARCH("Breakfast",$C113)),$D113="Asian"),RAND(),"")</f>
        <v/>
      </c>
      <c r="H113" s="28">
        <f>IF(AND(ISNUMBER(SEARCH("Breakfast",$C113)),$D113="Chinese"),RAND(),"")</f>
        <v/>
      </c>
      <c r="I113" s="28">
        <f>IF(AND(ISNUMBER(SEARCH("Breakfast",$C113)),$D113="Western"),RAND(),"")</f>
        <v/>
      </c>
      <c r="J113" s="28">
        <f>IF(AND(ISNUMBER(SEARCH("Lunch",$C113)),$D113="Asian"),RAND(),"")</f>
        <v/>
      </c>
      <c r="K113" s="28">
        <f>IF(AND(ISNUMBER(SEARCH("Lunch",$C113)),$D113="Chinese"),RAND(),"")</f>
        <v/>
      </c>
      <c r="L113" s="28">
        <f>IF(AND(ISNUMBER(SEARCH("Lunch",$C113)),$D113="Western"),RAND(),"")</f>
        <v/>
      </c>
      <c r="M113" s="28">
        <f>IF(AND(ISNUMBER(SEARCH("Dinner",$C113)),$D113="Asian"),RAND(),"")</f>
        <v/>
      </c>
      <c r="N113" s="28">
        <f>IF(AND(ISNUMBER(SEARCH("Dinner",$C113)),$D113="Chinese"),RAND(),"")</f>
        <v/>
      </c>
      <c r="O113" s="28">
        <f>IF(AND(ISNUMBER(SEARCH("Dinner",$C113)),$D113="Western"),RAND(),"")</f>
        <v/>
      </c>
    </row>
    <row r="114" ht="15.75" customHeight="1" s="36">
      <c r="A114" s="18" t="inlineStr">
        <is>
          <t>Crab noodles</t>
        </is>
      </c>
      <c r="B114" s="31" t="inlineStr">
        <is>
          <t>曾国臣面, Crab sauce</t>
        </is>
      </c>
      <c r="C114" s="17" t="inlineStr">
        <is>
          <t>Lunch</t>
        </is>
      </c>
      <c r="D114" s="26" t="inlineStr">
        <is>
          <t>Chinese</t>
        </is>
      </c>
      <c r="E114" s="17" t="inlineStr">
        <is>
          <t>Med</t>
        </is>
      </c>
      <c r="F114" s="18" t="n"/>
      <c r="G114" s="27">
        <f>IF(AND(ISNUMBER(SEARCH("Breakfast",$C114)),$D114="Asian"),RAND(),"")</f>
        <v/>
      </c>
      <c r="H114" s="27">
        <f>IF(AND(ISNUMBER(SEARCH("Breakfast",$C114)),$D114="Chinese"),RAND(),"")</f>
        <v/>
      </c>
      <c r="I114" s="27">
        <f>IF(AND(ISNUMBER(SEARCH("Breakfast",$C114)),$D114="Western"),RAND(),"")</f>
        <v/>
      </c>
      <c r="J114" s="27">
        <f>IF(AND(ISNUMBER(SEARCH("Lunch",$C114)),$D114="Asian"),RAND(),"")</f>
        <v/>
      </c>
      <c r="K114" s="27">
        <f>IF(AND(ISNUMBER(SEARCH("Lunch",$C114)),$D114="Chinese"),RAND(),"")</f>
        <v/>
      </c>
      <c r="L114" s="27">
        <f>IF(AND(ISNUMBER(SEARCH("Lunch",$C114)),$D114="Western"),RAND(),"")</f>
        <v/>
      </c>
      <c r="M114" s="27">
        <f>IF(AND(ISNUMBER(SEARCH("Dinner",$C114)),$D114="Asian"),RAND(),"")</f>
        <v/>
      </c>
      <c r="N114" s="27">
        <f>IF(AND(ISNUMBER(SEARCH("Dinner",$C114)),$D114="Chinese"),RAND(),"")</f>
        <v/>
      </c>
      <c r="O114" s="27">
        <f>IF(AND(ISNUMBER(SEARCH("Dinner",$C114)),$D114="Western"),RAND(),"")</f>
        <v/>
      </c>
    </row>
    <row r="115" ht="15.75" customHeight="1" s="36">
      <c r="A115" s="22" t="inlineStr">
        <is>
          <t>Crab Rice</t>
        </is>
      </c>
      <c r="B115" s="22" t="inlineStr">
        <is>
          <t>Crab, Yellow Rice Wine, Fish Sauce, Sugar, Sesame Oil, Ginger Powder, Garlic, Spring Onion, Ginger, Rice, Chicken Stock, Butter</t>
        </is>
      </c>
      <c r="C115" s="21" t="inlineStr">
        <is>
          <t>Dinner</t>
        </is>
      </c>
      <c r="D115" s="29" t="inlineStr">
        <is>
          <t>Asian</t>
        </is>
      </c>
      <c r="E115" s="21" t="inlineStr">
        <is>
          <t>Med</t>
        </is>
      </c>
      <c r="F115" s="23" t="inlineStr">
        <is>
          <t>https://www.instagram.com/reel/DO5j4P3krgM/?igsh=MTVyYzM3NjhjZ2t2Mw==</t>
        </is>
      </c>
      <c r="G115" s="28">
        <f>IF(AND(ISNUMBER(SEARCH("Breakfast",$C115)),$D115="Asian"),RAND(),"")</f>
        <v/>
      </c>
      <c r="H115" s="28">
        <f>IF(AND(ISNUMBER(SEARCH("Breakfast",$C115)),$D115="Chinese"),RAND(),"")</f>
        <v/>
      </c>
      <c r="I115" s="28">
        <f>IF(AND(ISNUMBER(SEARCH("Breakfast",$C115)),$D115="Western"),RAND(),"")</f>
        <v/>
      </c>
      <c r="J115" s="28">
        <f>IF(AND(ISNUMBER(SEARCH("Lunch",$C115)),$D115="Asian"),RAND(),"")</f>
        <v/>
      </c>
      <c r="K115" s="28">
        <f>IF(AND(ISNUMBER(SEARCH("Lunch",$C115)),$D115="Chinese"),RAND(),"")</f>
        <v/>
      </c>
      <c r="L115" s="28">
        <f>IF(AND(ISNUMBER(SEARCH("Lunch",$C115)),$D115="Western"),RAND(),"")</f>
        <v/>
      </c>
      <c r="M115" s="28">
        <f>IF(AND(ISNUMBER(SEARCH("Dinner",$C115)),$D115="Asian"),RAND(),"")</f>
        <v/>
      </c>
      <c r="N115" s="28">
        <f>IF(AND(ISNUMBER(SEARCH("Dinner",$C115)),$D115="Chinese"),RAND(),"")</f>
        <v/>
      </c>
      <c r="O115" s="28">
        <f>IF(AND(ISNUMBER(SEARCH("Dinner",$C115)),$D115="Western"),RAND(),"")</f>
        <v/>
      </c>
    </row>
    <row r="116" ht="15.75" customHeight="1" s="36">
      <c r="A116" s="18" t="inlineStr">
        <is>
          <t>Crab Spinach</t>
        </is>
      </c>
      <c r="B116" s="18" t="inlineStr">
        <is>
          <t>Spinach, Crab Can</t>
        </is>
      </c>
      <c r="C116" s="17" t="inlineStr">
        <is>
          <t>Dinner</t>
        </is>
      </c>
      <c r="D116" s="29" t="inlineStr">
        <is>
          <t>Asian</t>
        </is>
      </c>
      <c r="E116" s="17" t="inlineStr">
        <is>
          <t>Low</t>
        </is>
      </c>
      <c r="F116" s="18" t="n"/>
      <c r="G116" s="27">
        <f>IF(AND(ISNUMBER(SEARCH("Breakfast",$C116)),$D116="Asian"),RAND(),"")</f>
        <v/>
      </c>
      <c r="H116" s="27">
        <f>IF(AND(ISNUMBER(SEARCH("Breakfast",$C116)),$D116="Chinese"),RAND(),"")</f>
        <v/>
      </c>
      <c r="I116" s="27">
        <f>IF(AND(ISNUMBER(SEARCH("Breakfast",$C116)),$D116="Western"),RAND(),"")</f>
        <v/>
      </c>
      <c r="J116" s="27">
        <f>IF(AND(ISNUMBER(SEARCH("Lunch",$C116)),$D116="Asian"),RAND(),"")</f>
        <v/>
      </c>
      <c r="K116" s="27">
        <f>IF(AND(ISNUMBER(SEARCH("Lunch",$C116)),$D116="Chinese"),RAND(),"")</f>
        <v/>
      </c>
      <c r="L116" s="27">
        <f>IF(AND(ISNUMBER(SEARCH("Lunch",$C116)),$D116="Western"),RAND(),"")</f>
        <v/>
      </c>
      <c r="M116" s="27">
        <f>IF(AND(ISNUMBER(SEARCH("Dinner",$C116)),$D116="Asian"),RAND(),"")</f>
        <v/>
      </c>
      <c r="N116" s="27">
        <f>IF(AND(ISNUMBER(SEARCH("Dinner",$C116)),$D116="Chinese"),RAND(),"")</f>
        <v/>
      </c>
      <c r="O116" s="27">
        <f>IF(AND(ISNUMBER(SEARCH("Dinner",$C116)),$D116="Western"),RAND(),"")</f>
        <v/>
      </c>
    </row>
    <row r="117" ht="15.75" customHeight="1" s="36">
      <c r="A117" s="22" t="inlineStr">
        <is>
          <t>Crab stick Rosti</t>
        </is>
      </c>
      <c r="B117" s="22" t="inlineStr">
        <is>
          <t>Crabstick, Potatoes, Onion, Bacon, Eggs, Breadcrumbs, Parsley</t>
        </is>
      </c>
      <c r="C117" s="21" t="inlineStr">
        <is>
          <t>Dinner</t>
        </is>
      </c>
      <c r="D117" s="30" t="inlineStr">
        <is>
          <t>Western</t>
        </is>
      </c>
      <c r="E117" s="21" t="inlineStr">
        <is>
          <t>Med</t>
        </is>
      </c>
      <c r="F117" s="22" t="n"/>
      <c r="G117" s="28">
        <f>IF(AND(ISNUMBER(SEARCH("Breakfast",$C117)),$D117="Asian"),RAND(),"")</f>
        <v/>
      </c>
      <c r="H117" s="28">
        <f>IF(AND(ISNUMBER(SEARCH("Breakfast",$C117)),$D117="Chinese"),RAND(),"")</f>
        <v/>
      </c>
      <c r="I117" s="28">
        <f>IF(AND(ISNUMBER(SEARCH("Breakfast",$C117)),$D117="Western"),RAND(),"")</f>
        <v/>
      </c>
      <c r="J117" s="28">
        <f>IF(AND(ISNUMBER(SEARCH("Lunch",$C117)),$D117="Asian"),RAND(),"")</f>
        <v/>
      </c>
      <c r="K117" s="28">
        <f>IF(AND(ISNUMBER(SEARCH("Lunch",$C117)),$D117="Chinese"),RAND(),"")</f>
        <v/>
      </c>
      <c r="L117" s="28">
        <f>IF(AND(ISNUMBER(SEARCH("Lunch",$C117)),$D117="Western"),RAND(),"")</f>
        <v/>
      </c>
      <c r="M117" s="28">
        <f>IF(AND(ISNUMBER(SEARCH("Dinner",$C117)),$D117="Asian"),RAND(),"")</f>
        <v/>
      </c>
      <c r="N117" s="28">
        <f>IF(AND(ISNUMBER(SEARCH("Dinner",$C117)),$D117="Chinese"),RAND(),"")</f>
        <v/>
      </c>
      <c r="O117" s="28">
        <f>IF(AND(ISNUMBER(SEARCH("Dinner",$C117)),$D117="Western"),RAND(),"")</f>
        <v/>
      </c>
    </row>
    <row r="118" ht="15.75" customHeight="1" s="36">
      <c r="A118" s="18" t="inlineStr">
        <is>
          <t>Creamy Butter Prawn</t>
        </is>
      </c>
      <c r="B118" s="18" t="inlineStr">
        <is>
          <t>Prawns, Baking Soda, Tapioca Starch, Egg White, Butter, Curry Leaves, Garlic, Rice Syrup, Full cream evaporated Milk</t>
        </is>
      </c>
      <c r="C118" s="17" t="inlineStr">
        <is>
          <t>Dinner</t>
        </is>
      </c>
      <c r="D118" s="29" t="inlineStr">
        <is>
          <t>Asian</t>
        </is>
      </c>
      <c r="E118" s="17" t="inlineStr">
        <is>
          <t>Med</t>
        </is>
      </c>
      <c r="F118" s="18" t="n"/>
      <c r="G118" s="27">
        <f>IF(AND(ISNUMBER(SEARCH("Breakfast",$C118)),$D118="Asian"),RAND(),"")</f>
        <v/>
      </c>
      <c r="H118" s="27">
        <f>IF(AND(ISNUMBER(SEARCH("Breakfast",$C118)),$D118="Chinese"),RAND(),"")</f>
        <v/>
      </c>
      <c r="I118" s="27">
        <f>IF(AND(ISNUMBER(SEARCH("Breakfast",$C118)),$D118="Western"),RAND(),"")</f>
        <v/>
      </c>
      <c r="J118" s="27">
        <f>IF(AND(ISNUMBER(SEARCH("Lunch",$C118)),$D118="Asian"),RAND(),"")</f>
        <v/>
      </c>
      <c r="K118" s="27">
        <f>IF(AND(ISNUMBER(SEARCH("Lunch",$C118)),$D118="Chinese"),RAND(),"")</f>
        <v/>
      </c>
      <c r="L118" s="27">
        <f>IF(AND(ISNUMBER(SEARCH("Lunch",$C118)),$D118="Western"),RAND(),"")</f>
        <v/>
      </c>
      <c r="M118" s="27">
        <f>IF(AND(ISNUMBER(SEARCH("Dinner",$C118)),$D118="Asian"),RAND(),"")</f>
        <v/>
      </c>
      <c r="N118" s="27">
        <f>IF(AND(ISNUMBER(SEARCH("Dinner",$C118)),$D118="Chinese"),RAND(),"")</f>
        <v/>
      </c>
      <c r="O118" s="27">
        <f>IF(AND(ISNUMBER(SEARCH("Dinner",$C118)),$D118="Western"),RAND(),"")</f>
        <v/>
      </c>
    </row>
    <row r="119" ht="15.75" customHeight="1" s="36">
      <c r="A119" s="22" t="inlineStr">
        <is>
          <t>Crepe</t>
        </is>
      </c>
      <c r="B119" s="22" t="inlineStr">
        <is>
          <t>Flour, Milk, Eggs, Butter, Bacon, Shimeiji Mushroom, Corn, Parmasan</t>
        </is>
      </c>
      <c r="C119" s="21" t="inlineStr">
        <is>
          <t>Lunch</t>
        </is>
      </c>
      <c r="D119" s="30" t="inlineStr">
        <is>
          <t>Western</t>
        </is>
      </c>
      <c r="E119" s="21" t="inlineStr">
        <is>
          <t>High</t>
        </is>
      </c>
      <c r="F119" s="23" t="inlineStr">
        <is>
          <t>https://www.instagram.com/p/COkKnPKgdqJ/?utm_source=ig_web_copy_link</t>
        </is>
      </c>
      <c r="G119" s="28">
        <f>IF(AND(ISNUMBER(SEARCH("Breakfast",$C119)),$D119="Asian"),RAND(),"")</f>
        <v/>
      </c>
      <c r="H119" s="28">
        <f>IF(AND(ISNUMBER(SEARCH("Breakfast",$C119)),$D119="Chinese"),RAND(),"")</f>
        <v/>
      </c>
      <c r="I119" s="28">
        <f>IF(AND(ISNUMBER(SEARCH("Breakfast",$C119)),$D119="Western"),RAND(),"")</f>
        <v/>
      </c>
      <c r="J119" s="28">
        <f>IF(AND(ISNUMBER(SEARCH("Lunch",$C119)),$D119="Asian"),RAND(),"")</f>
        <v/>
      </c>
      <c r="K119" s="28">
        <f>IF(AND(ISNUMBER(SEARCH("Lunch",$C119)),$D119="Chinese"),RAND(),"")</f>
        <v/>
      </c>
      <c r="L119" s="28">
        <f>IF(AND(ISNUMBER(SEARCH("Lunch",$C119)),$D119="Western"),RAND(),"")</f>
        <v/>
      </c>
      <c r="M119" s="28">
        <f>IF(AND(ISNUMBER(SEARCH("Dinner",$C119)),$D119="Asian"),RAND(),"")</f>
        <v/>
      </c>
      <c r="N119" s="28">
        <f>IF(AND(ISNUMBER(SEARCH("Dinner",$C119)),$D119="Chinese"),RAND(),"")</f>
        <v/>
      </c>
      <c r="O119" s="28">
        <f>IF(AND(ISNUMBER(SEARCH("Dinner",$C119)),$D119="Western"),RAND(),"")</f>
        <v/>
      </c>
    </row>
    <row r="120" ht="15.75" customHeight="1" s="36">
      <c r="A120" s="18" t="inlineStr">
        <is>
          <t>Crispy Mushroom Rice</t>
        </is>
      </c>
      <c r="B120" s="18" t="inlineStr">
        <is>
          <t>Assorted Mushroom, Rice Vinegar, White Sugar, Soy Sauce, Scallion, Yellow Onion, Garlic, Red Pepper Flakes, Rice, White Wine, Vegetable Broth, White MIso</t>
        </is>
      </c>
      <c r="C120" s="17" t="inlineStr">
        <is>
          <t>Lunch</t>
        </is>
      </c>
      <c r="D120" s="29" t="inlineStr">
        <is>
          <t>Asian</t>
        </is>
      </c>
      <c r="E120" s="17" t="inlineStr">
        <is>
          <t>Med</t>
        </is>
      </c>
      <c r="F120" s="19" t="inlineStr">
        <is>
          <t>https://www.groovyfoodiess.com/@groovyfoodiess/xl-crispy-rice-with-miso-mushrooms</t>
        </is>
      </c>
      <c r="G120" s="27">
        <f>IF(AND(ISNUMBER(SEARCH("Breakfast",$C120)),$D120="Asian"),RAND(),"")</f>
        <v/>
      </c>
      <c r="H120" s="27">
        <f>IF(AND(ISNUMBER(SEARCH("Breakfast",$C120)),$D120="Chinese"),RAND(),"")</f>
        <v/>
      </c>
      <c r="I120" s="27">
        <f>IF(AND(ISNUMBER(SEARCH("Breakfast",$C120)),$D120="Western"),RAND(),"")</f>
        <v/>
      </c>
      <c r="J120" s="27">
        <f>IF(AND(ISNUMBER(SEARCH("Lunch",$C120)),$D120="Asian"),RAND(),"")</f>
        <v/>
      </c>
      <c r="K120" s="27">
        <f>IF(AND(ISNUMBER(SEARCH("Lunch",$C120)),$D120="Chinese"),RAND(),"")</f>
        <v/>
      </c>
      <c r="L120" s="27">
        <f>IF(AND(ISNUMBER(SEARCH("Lunch",$C120)),$D120="Western"),RAND(),"")</f>
        <v/>
      </c>
      <c r="M120" s="27">
        <f>IF(AND(ISNUMBER(SEARCH("Dinner",$C120)),$D120="Asian"),RAND(),"")</f>
        <v/>
      </c>
      <c r="N120" s="27">
        <f>IF(AND(ISNUMBER(SEARCH("Dinner",$C120)),$D120="Chinese"),RAND(),"")</f>
        <v/>
      </c>
      <c r="O120" s="27">
        <f>IF(AND(ISNUMBER(SEARCH("Dinner",$C120)),$D120="Western"),RAND(),"")</f>
        <v/>
      </c>
    </row>
    <row r="121" ht="15.75" customHeight="1" s="36">
      <c r="A121" s="22" t="inlineStr">
        <is>
          <t>Crispy Tomato Potatoes</t>
        </is>
      </c>
      <c r="B121" s="22" t="inlineStr">
        <is>
          <t>Potatoes, Olive Oil, Salt, Black Pepper, Chopped Tomato Can, Ketchup, Garlic, Dried Oregano, Smoked Paprika, Honey, Parsley</t>
        </is>
      </c>
      <c r="C121" s="21" t="inlineStr">
        <is>
          <t>Lunch</t>
        </is>
      </c>
      <c r="D121" s="30" t="inlineStr">
        <is>
          <t>Western</t>
        </is>
      </c>
      <c r="E121" s="21" t="inlineStr">
        <is>
          <t>Low</t>
        </is>
      </c>
      <c r="F121" s="23" t="inlineStr">
        <is>
          <t>https://scrummylane.com/tomato-potatoes/#wprm-recipe-container-29736</t>
        </is>
      </c>
      <c r="G121" s="28">
        <f>IF(AND(ISNUMBER(SEARCH("Breakfast",$C121)),$D121="Asian"),RAND(),"")</f>
        <v/>
      </c>
      <c r="H121" s="28">
        <f>IF(AND(ISNUMBER(SEARCH("Breakfast",$C121)),$D121="Chinese"),RAND(),"")</f>
        <v/>
      </c>
      <c r="I121" s="28">
        <f>IF(AND(ISNUMBER(SEARCH("Breakfast",$C121)),$D121="Western"),RAND(),"")</f>
        <v/>
      </c>
      <c r="J121" s="28">
        <f>IF(AND(ISNUMBER(SEARCH("Lunch",$C121)),$D121="Asian"),RAND(),"")</f>
        <v/>
      </c>
      <c r="K121" s="28">
        <f>IF(AND(ISNUMBER(SEARCH("Lunch",$C121)),$D121="Chinese"),RAND(),"")</f>
        <v/>
      </c>
      <c r="L121" s="28">
        <f>IF(AND(ISNUMBER(SEARCH("Lunch",$C121)),$D121="Western"),RAND(),"")</f>
        <v/>
      </c>
      <c r="M121" s="28">
        <f>IF(AND(ISNUMBER(SEARCH("Dinner",$C121)),$D121="Asian"),RAND(),"")</f>
        <v/>
      </c>
      <c r="N121" s="28">
        <f>IF(AND(ISNUMBER(SEARCH("Dinner",$C121)),$D121="Chinese"),RAND(),"")</f>
        <v/>
      </c>
      <c r="O121" s="28">
        <f>IF(AND(ISNUMBER(SEARCH("Dinner",$C121)),$D121="Western"),RAND(),"")</f>
        <v/>
      </c>
    </row>
    <row r="122" ht="15.75" customHeight="1" s="36">
      <c r="A122" s="18" t="inlineStr">
        <is>
          <t>Crusted Salmon</t>
        </is>
      </c>
      <c r="B122" s="18" t="inlineStr">
        <is>
          <t>Salmon, Paprika, Garlic powder, Mustard, Honey, Bread crumbs, Parsley, Lemon juice</t>
        </is>
      </c>
      <c r="C122" s="17" t="inlineStr">
        <is>
          <t>Dinner</t>
        </is>
      </c>
      <c r="D122" s="30" t="inlineStr">
        <is>
          <t>Western</t>
        </is>
      </c>
      <c r="E122" s="17" t="inlineStr">
        <is>
          <t>Low</t>
        </is>
      </c>
      <c r="F122" s="19" t="inlineStr">
        <is>
          <t>https://www.instagram.com/reel/Ct7Q12ppuW5/?igshid=Y2I2MzMwZWM3ZA==</t>
        </is>
      </c>
      <c r="G122" s="27">
        <f>IF(AND(ISNUMBER(SEARCH("Breakfast",$C122)),$D122="Asian"),RAND(),"")</f>
        <v/>
      </c>
      <c r="H122" s="27">
        <f>IF(AND(ISNUMBER(SEARCH("Breakfast",$C122)),$D122="Chinese"),RAND(),"")</f>
        <v/>
      </c>
      <c r="I122" s="27">
        <f>IF(AND(ISNUMBER(SEARCH("Breakfast",$C122)),$D122="Western"),RAND(),"")</f>
        <v/>
      </c>
      <c r="J122" s="27">
        <f>IF(AND(ISNUMBER(SEARCH("Lunch",$C122)),$D122="Asian"),RAND(),"")</f>
        <v/>
      </c>
      <c r="K122" s="27">
        <f>IF(AND(ISNUMBER(SEARCH("Lunch",$C122)),$D122="Chinese"),RAND(),"")</f>
        <v/>
      </c>
      <c r="L122" s="27">
        <f>IF(AND(ISNUMBER(SEARCH("Lunch",$C122)),$D122="Western"),RAND(),"")</f>
        <v/>
      </c>
      <c r="M122" s="27">
        <f>IF(AND(ISNUMBER(SEARCH("Dinner",$C122)),$D122="Asian"),RAND(),"")</f>
        <v/>
      </c>
      <c r="N122" s="27">
        <f>IF(AND(ISNUMBER(SEARCH("Dinner",$C122)),$D122="Chinese"),RAND(),"")</f>
        <v/>
      </c>
      <c r="O122" s="27">
        <f>IF(AND(ISNUMBER(SEARCH("Dinner",$C122)),$D122="Western"),RAND(),"")</f>
        <v/>
      </c>
    </row>
    <row r="123" ht="15.75" customHeight="1" s="36">
      <c r="A123" s="22" t="inlineStr">
        <is>
          <t>Cucumber</t>
        </is>
      </c>
      <c r="B123" s="22" t="inlineStr">
        <is>
          <t>tomato, Avocado, Shrimp</t>
        </is>
      </c>
      <c r="C123" s="21" t="inlineStr">
        <is>
          <t>Lunch</t>
        </is>
      </c>
      <c r="D123" s="30" t="inlineStr">
        <is>
          <t>Western</t>
        </is>
      </c>
      <c r="E123" s="21" t="inlineStr">
        <is>
          <t>Low</t>
        </is>
      </c>
      <c r="F123" s="23" t="inlineStr">
        <is>
          <t>https://www.instagram.com/reel/C-m-VyghNHr/?igsh=MWdwMWl4aGsxMTVneA==</t>
        </is>
      </c>
      <c r="G123" s="28">
        <f>IF(AND(ISNUMBER(SEARCH("Breakfast",$C123)),$D123="Asian"),RAND(),"")</f>
        <v/>
      </c>
      <c r="H123" s="28">
        <f>IF(AND(ISNUMBER(SEARCH("Breakfast",$C123)),$D123="Chinese"),RAND(),"")</f>
        <v/>
      </c>
      <c r="I123" s="28">
        <f>IF(AND(ISNUMBER(SEARCH("Breakfast",$C123)),$D123="Western"),RAND(),"")</f>
        <v/>
      </c>
      <c r="J123" s="28">
        <f>IF(AND(ISNUMBER(SEARCH("Lunch",$C123)),$D123="Asian"),RAND(),"")</f>
        <v/>
      </c>
      <c r="K123" s="28">
        <f>IF(AND(ISNUMBER(SEARCH("Lunch",$C123)),$D123="Chinese"),RAND(),"")</f>
        <v/>
      </c>
      <c r="L123" s="28">
        <f>IF(AND(ISNUMBER(SEARCH("Lunch",$C123)),$D123="Western"),RAND(),"")</f>
        <v/>
      </c>
      <c r="M123" s="28">
        <f>IF(AND(ISNUMBER(SEARCH("Dinner",$C123)),$D123="Asian"),RAND(),"")</f>
        <v/>
      </c>
      <c r="N123" s="28">
        <f>IF(AND(ISNUMBER(SEARCH("Dinner",$C123)),$D123="Chinese"),RAND(),"")</f>
        <v/>
      </c>
      <c r="O123" s="28">
        <f>IF(AND(ISNUMBER(SEARCH("Dinner",$C123)),$D123="Western"),RAND(),"")</f>
        <v/>
      </c>
    </row>
    <row r="124" ht="15.75" customHeight="1" s="36">
      <c r="A124" s="18" t="inlineStr">
        <is>
          <t>Cucumber onigiri</t>
        </is>
      </c>
      <c r="B124" s="18" t="inlineStr">
        <is>
          <t>Rice, Cucumber, Mayo</t>
        </is>
      </c>
      <c r="C124" s="17" t="inlineStr">
        <is>
          <t>Lunch</t>
        </is>
      </c>
      <c r="D124" s="29" t="inlineStr">
        <is>
          <t>Asian</t>
        </is>
      </c>
      <c r="E124" s="17" t="inlineStr">
        <is>
          <t>Med</t>
        </is>
      </c>
      <c r="F124" s="19" t="inlineStr">
        <is>
          <t>https://www.instagram.com/reel/DOpiLFGkZlt/?igsh=MWU4eWhhOWc0Mzg3OQ==</t>
        </is>
      </c>
      <c r="G124" s="27">
        <f>IF(AND(ISNUMBER(SEARCH("Breakfast",$C124)),$D124="Asian"),RAND(),"")</f>
        <v/>
      </c>
      <c r="H124" s="27">
        <f>IF(AND(ISNUMBER(SEARCH("Breakfast",$C124)),$D124="Chinese"),RAND(),"")</f>
        <v/>
      </c>
      <c r="I124" s="27">
        <f>IF(AND(ISNUMBER(SEARCH("Breakfast",$C124)),$D124="Western"),RAND(),"")</f>
        <v/>
      </c>
      <c r="J124" s="27">
        <f>IF(AND(ISNUMBER(SEARCH("Lunch",$C124)),$D124="Asian"),RAND(),"")</f>
        <v/>
      </c>
      <c r="K124" s="27">
        <f>IF(AND(ISNUMBER(SEARCH("Lunch",$C124)),$D124="Chinese"),RAND(),"")</f>
        <v/>
      </c>
      <c r="L124" s="27">
        <f>IF(AND(ISNUMBER(SEARCH("Lunch",$C124)),$D124="Western"),RAND(),"")</f>
        <v/>
      </c>
      <c r="M124" s="27">
        <f>IF(AND(ISNUMBER(SEARCH("Dinner",$C124)),$D124="Asian"),RAND(),"")</f>
        <v/>
      </c>
      <c r="N124" s="27">
        <f>IF(AND(ISNUMBER(SEARCH("Dinner",$C124)),$D124="Chinese"),RAND(),"")</f>
        <v/>
      </c>
      <c r="O124" s="27">
        <f>IF(AND(ISNUMBER(SEARCH("Dinner",$C124)),$D124="Western"),RAND(),"")</f>
        <v/>
      </c>
    </row>
    <row r="125" ht="15.75" customHeight="1" s="36">
      <c r="A125" s="22" t="inlineStr">
        <is>
          <t>Curry Lentils Soup</t>
        </is>
      </c>
      <c r="B125" s="22" t="inlineStr">
        <is>
          <t>coconut oil, Onion, Garlic, Ginger, Curry powder, Tomatoes, French green lentils, Coconut milk, Cilantro, Lime</t>
        </is>
      </c>
      <c r="C125" s="21" t="inlineStr">
        <is>
          <t>Dinner</t>
        </is>
      </c>
      <c r="D125" s="29" t="inlineStr">
        <is>
          <t>Asian</t>
        </is>
      </c>
      <c r="E125" s="21" t="inlineStr">
        <is>
          <t>Med</t>
        </is>
      </c>
      <c r="F125" s="23" t="inlineStr">
        <is>
          <t>https://www.loveandlemons.com/curry-lentil-soup/</t>
        </is>
      </c>
      <c r="G125" s="28">
        <f>IF(AND(ISNUMBER(SEARCH("Breakfast",$C125)),$D125="Asian"),RAND(),"")</f>
        <v/>
      </c>
      <c r="H125" s="28">
        <f>IF(AND(ISNUMBER(SEARCH("Breakfast",$C125)),$D125="Chinese"),RAND(),"")</f>
        <v/>
      </c>
      <c r="I125" s="28">
        <f>IF(AND(ISNUMBER(SEARCH("Breakfast",$C125)),$D125="Western"),RAND(),"")</f>
        <v/>
      </c>
      <c r="J125" s="28">
        <f>IF(AND(ISNUMBER(SEARCH("Lunch",$C125)),$D125="Asian"),RAND(),"")</f>
        <v/>
      </c>
      <c r="K125" s="28">
        <f>IF(AND(ISNUMBER(SEARCH("Lunch",$C125)),$D125="Chinese"),RAND(),"")</f>
        <v/>
      </c>
      <c r="L125" s="28">
        <f>IF(AND(ISNUMBER(SEARCH("Lunch",$C125)),$D125="Western"),RAND(),"")</f>
        <v/>
      </c>
      <c r="M125" s="28">
        <f>IF(AND(ISNUMBER(SEARCH("Dinner",$C125)),$D125="Asian"),RAND(),"")</f>
        <v/>
      </c>
      <c r="N125" s="28">
        <f>IF(AND(ISNUMBER(SEARCH("Dinner",$C125)),$D125="Chinese"),RAND(),"")</f>
        <v/>
      </c>
      <c r="O125" s="28">
        <f>IF(AND(ISNUMBER(SEARCH("Dinner",$C125)),$D125="Western"),RAND(),"")</f>
        <v/>
      </c>
      <c r="P125" s="0" t="b">
        <v>1</v>
      </c>
    </row>
    <row r="126" ht="15.75" customHeight="1" s="36">
      <c r="A126" s="18" t="inlineStr">
        <is>
          <t>Daikon</t>
        </is>
      </c>
      <c r="B126" s="18" t="inlineStr">
        <is>
          <t>Daikon, Dashi Stock, Soy Sauce, Mirin</t>
        </is>
      </c>
      <c r="C126" s="17" t="inlineStr">
        <is>
          <t>Dinner</t>
        </is>
      </c>
      <c r="D126" s="29" t="inlineStr">
        <is>
          <t>Asian</t>
        </is>
      </c>
      <c r="E126" s="17" t="inlineStr">
        <is>
          <t>High</t>
        </is>
      </c>
      <c r="F126" s="19" t="inlineStr">
        <is>
          <t>https://youtu.be/GXpiOZ6QrYE</t>
        </is>
      </c>
      <c r="G126" s="27">
        <f>IF(AND(ISNUMBER(SEARCH("Breakfast",$C126)),$D126="Asian"),RAND(),"")</f>
        <v/>
      </c>
      <c r="H126" s="27">
        <f>IF(AND(ISNUMBER(SEARCH("Breakfast",$C126)),$D126="Chinese"),RAND(),"")</f>
        <v/>
      </c>
      <c r="I126" s="27">
        <f>IF(AND(ISNUMBER(SEARCH("Breakfast",$C126)),$D126="Western"),RAND(),"")</f>
        <v/>
      </c>
      <c r="J126" s="27">
        <f>IF(AND(ISNUMBER(SEARCH("Lunch",$C126)),$D126="Asian"),RAND(),"")</f>
        <v/>
      </c>
      <c r="K126" s="27">
        <f>IF(AND(ISNUMBER(SEARCH("Lunch",$C126)),$D126="Chinese"),RAND(),"")</f>
        <v/>
      </c>
      <c r="L126" s="27">
        <f>IF(AND(ISNUMBER(SEARCH("Lunch",$C126)),$D126="Western"),RAND(),"")</f>
        <v/>
      </c>
      <c r="M126" s="27">
        <f>IF(AND(ISNUMBER(SEARCH("Dinner",$C126)),$D126="Asian"),RAND(),"")</f>
        <v/>
      </c>
      <c r="N126" s="27">
        <f>IF(AND(ISNUMBER(SEARCH("Dinner",$C126)),$D126="Chinese"),RAND(),"")</f>
        <v/>
      </c>
      <c r="O126" s="27">
        <f>IF(AND(ISNUMBER(SEARCH("Dinner",$C126)),$D126="Western"),RAND(),"")</f>
        <v/>
      </c>
    </row>
    <row r="127" ht="15.75" customHeight="1" s="36">
      <c r="A127" s="22" t="inlineStr">
        <is>
          <t>dang on</t>
        </is>
      </c>
      <c r="B127" s="22" t="inlineStr">
        <is>
          <t>egg</t>
        </is>
      </c>
      <c r="C127" s="21" t="inlineStr">
        <is>
          <t>Lunch</t>
        </is>
      </c>
      <c r="D127" s="26" t="inlineStr">
        <is>
          <t>Chinese</t>
        </is>
      </c>
      <c r="E127" s="21" t="inlineStr">
        <is>
          <t>Low</t>
        </is>
      </c>
      <c r="F127" s="23" t="inlineStr">
        <is>
          <t>https://icook.tw/recipes/409286?utm_source=copy&amp;utm_medium=sharev3&amp;utm_campaign=recipe-share</t>
        </is>
      </c>
      <c r="G127" s="28">
        <f>IF(AND(ISNUMBER(SEARCH("Breakfast",$C127)),$D127="Asian"),RAND(),"")</f>
        <v/>
      </c>
      <c r="H127" s="28">
        <f>IF(AND(ISNUMBER(SEARCH("Breakfast",$C127)),$D127="Chinese"),RAND(),"")</f>
        <v/>
      </c>
      <c r="I127" s="28">
        <f>IF(AND(ISNUMBER(SEARCH("Breakfast",$C127)),$D127="Western"),RAND(),"")</f>
        <v/>
      </c>
      <c r="J127" s="28">
        <f>IF(AND(ISNUMBER(SEARCH("Lunch",$C127)),$D127="Asian"),RAND(),"")</f>
        <v/>
      </c>
      <c r="K127" s="28">
        <f>IF(AND(ISNUMBER(SEARCH("Lunch",$C127)),$D127="Chinese"),RAND(),"")</f>
        <v/>
      </c>
      <c r="L127" s="28">
        <f>IF(AND(ISNUMBER(SEARCH("Lunch",$C127)),$D127="Western"),RAND(),"")</f>
        <v/>
      </c>
      <c r="M127" s="28">
        <f>IF(AND(ISNUMBER(SEARCH("Dinner",$C127)),$D127="Asian"),RAND(),"")</f>
        <v/>
      </c>
      <c r="N127" s="28">
        <f>IF(AND(ISNUMBER(SEARCH("Dinner",$C127)),$D127="Chinese"),RAND(),"")</f>
        <v/>
      </c>
      <c r="O127" s="28">
        <f>IF(AND(ISNUMBER(SEARCH("Dinner",$C127)),$D127="Western"),RAND(),"")</f>
        <v/>
      </c>
    </row>
    <row r="128" ht="15.75" customHeight="1" s="36">
      <c r="A128" s="18" t="inlineStr">
        <is>
          <t>Dim Sum</t>
        </is>
      </c>
      <c r="B128" s="18" t="inlineStr">
        <is>
          <t>—</t>
        </is>
      </c>
      <c r="C128" s="17" t="inlineStr">
        <is>
          <t>Lunch</t>
        </is>
      </c>
      <c r="D128" s="26" t="inlineStr">
        <is>
          <t>Chinese</t>
        </is>
      </c>
      <c r="E128" s="17" t="inlineStr">
        <is>
          <t>Med</t>
        </is>
      </c>
      <c r="F128" s="18" t="n"/>
      <c r="G128" s="27">
        <f>IF(AND(ISNUMBER(SEARCH("Breakfast",$C128)),$D128="Asian"),RAND(),"")</f>
        <v/>
      </c>
      <c r="H128" s="27">
        <f>IF(AND(ISNUMBER(SEARCH("Breakfast",$C128)),$D128="Chinese"),RAND(),"")</f>
        <v/>
      </c>
      <c r="I128" s="27">
        <f>IF(AND(ISNUMBER(SEARCH("Breakfast",$C128)),$D128="Western"),RAND(),"")</f>
        <v/>
      </c>
      <c r="J128" s="27">
        <f>IF(AND(ISNUMBER(SEARCH("Lunch",$C128)),$D128="Asian"),RAND(),"")</f>
        <v/>
      </c>
      <c r="K128" s="27">
        <f>IF(AND(ISNUMBER(SEARCH("Lunch",$C128)),$D128="Chinese"),RAND(),"")</f>
        <v/>
      </c>
      <c r="L128" s="27">
        <f>IF(AND(ISNUMBER(SEARCH("Lunch",$C128)),$D128="Western"),RAND(),"")</f>
        <v/>
      </c>
      <c r="M128" s="27">
        <f>IF(AND(ISNUMBER(SEARCH("Dinner",$C128)),$D128="Asian"),RAND(),"")</f>
        <v/>
      </c>
      <c r="N128" s="27">
        <f>IF(AND(ISNUMBER(SEARCH("Dinner",$C128)),$D128="Chinese"),RAND(),"")</f>
        <v/>
      </c>
      <c r="O128" s="27">
        <f>IF(AND(ISNUMBER(SEARCH("Dinner",$C128)),$D128="Western"),RAND(),"")</f>
        <v/>
      </c>
    </row>
    <row r="129" ht="15.75" customHeight="1" s="36">
      <c r="A129" s="22" t="inlineStr">
        <is>
          <t>Double egg steam tofu</t>
        </is>
      </c>
      <c r="B129" s="22" t="inlineStr">
        <is>
          <t>Firm tofu, Dried mushroom, Century egg, Salted egg, Minced pork, Light soy sauxe, Hua tiao wine, Sesame oil, Oyster sauce, White pepper, Corn flour, Spring onion, Chilli, Dark soy sauce</t>
        </is>
      </c>
      <c r="C129" s="21" t="inlineStr">
        <is>
          <t>Dinner</t>
        </is>
      </c>
      <c r="D129" s="26" t="inlineStr">
        <is>
          <t>Chinese</t>
        </is>
      </c>
      <c r="E129" s="21" t="inlineStr">
        <is>
          <t>High</t>
        </is>
      </c>
      <c r="F129" s="22" t="n"/>
      <c r="G129" s="28">
        <f>IF(AND(ISNUMBER(SEARCH("Breakfast",$C129)),$D129="Asian"),RAND(),"")</f>
        <v/>
      </c>
      <c r="H129" s="28">
        <f>IF(AND(ISNUMBER(SEARCH("Breakfast",$C129)),$D129="Chinese"),RAND(),"")</f>
        <v/>
      </c>
      <c r="I129" s="28">
        <f>IF(AND(ISNUMBER(SEARCH("Breakfast",$C129)),$D129="Western"),RAND(),"")</f>
        <v/>
      </c>
      <c r="J129" s="28">
        <f>IF(AND(ISNUMBER(SEARCH("Lunch",$C129)),$D129="Asian"),RAND(),"")</f>
        <v/>
      </c>
      <c r="K129" s="28">
        <f>IF(AND(ISNUMBER(SEARCH("Lunch",$C129)),$D129="Chinese"),RAND(),"")</f>
        <v/>
      </c>
      <c r="L129" s="28">
        <f>IF(AND(ISNUMBER(SEARCH("Lunch",$C129)),$D129="Western"),RAND(),"")</f>
        <v/>
      </c>
      <c r="M129" s="28">
        <f>IF(AND(ISNUMBER(SEARCH("Dinner",$C129)),$D129="Asian"),RAND(),"")</f>
        <v/>
      </c>
      <c r="N129" s="28">
        <f>IF(AND(ISNUMBER(SEARCH("Dinner",$C129)),$D129="Chinese"),RAND(),"")</f>
        <v/>
      </c>
      <c r="O129" s="28">
        <f>IF(AND(ISNUMBER(SEARCH("Dinner",$C129)),$D129="Western"),RAND(),"")</f>
        <v/>
      </c>
    </row>
    <row r="130" ht="15.75" customHeight="1" s="36">
      <c r="A130" s="18" t="inlineStr">
        <is>
          <t>Dried beancurd</t>
        </is>
      </c>
      <c r="B130" s="18" t="inlineStr">
        <is>
          <t>Dou ya, Chives, Celery, Carrot, Garlic, Fish Sauce</t>
        </is>
      </c>
      <c r="C130" s="17" t="inlineStr">
        <is>
          <t>Dinner</t>
        </is>
      </c>
      <c r="D130" s="29" t="inlineStr">
        <is>
          <t>Asian</t>
        </is>
      </c>
      <c r="E130" s="17" t="inlineStr">
        <is>
          <t>Low</t>
        </is>
      </c>
      <c r="F130" s="19" t="inlineStr">
        <is>
          <t>https://icook.tw/recipes/384865?utm_source=copy&amp;utm_medium=sharev3&amp;utm_campaign=recipe-share</t>
        </is>
      </c>
      <c r="G130" s="27">
        <f>IF(AND(ISNUMBER(SEARCH("Breakfast",$C130)),$D130="Asian"),RAND(),"")</f>
        <v/>
      </c>
      <c r="H130" s="27">
        <f>IF(AND(ISNUMBER(SEARCH("Breakfast",$C130)),$D130="Chinese"),RAND(),"")</f>
        <v/>
      </c>
      <c r="I130" s="27">
        <f>IF(AND(ISNUMBER(SEARCH("Breakfast",$C130)),$D130="Western"),RAND(),"")</f>
        <v/>
      </c>
      <c r="J130" s="27">
        <f>IF(AND(ISNUMBER(SEARCH("Lunch",$C130)),$D130="Asian"),RAND(),"")</f>
        <v/>
      </c>
      <c r="K130" s="27">
        <f>IF(AND(ISNUMBER(SEARCH("Lunch",$C130)),$D130="Chinese"),RAND(),"")</f>
        <v/>
      </c>
      <c r="L130" s="27">
        <f>IF(AND(ISNUMBER(SEARCH("Lunch",$C130)),$D130="Western"),RAND(),"")</f>
        <v/>
      </c>
      <c r="M130" s="27">
        <f>IF(AND(ISNUMBER(SEARCH("Dinner",$C130)),$D130="Asian"),RAND(),"")</f>
        <v/>
      </c>
      <c r="N130" s="27">
        <f>IF(AND(ISNUMBER(SEARCH("Dinner",$C130)),$D130="Chinese"),RAND(),"")</f>
        <v/>
      </c>
      <c r="O130" s="27">
        <f>IF(AND(ISNUMBER(SEARCH("Dinner",$C130)),$D130="Western"),RAND(),"")</f>
        <v/>
      </c>
    </row>
    <row r="131" ht="15.75" customHeight="1" s="36">
      <c r="A131" s="22" t="inlineStr">
        <is>
          <t>Easy soup</t>
        </is>
      </c>
      <c r="B131" s="22" t="inlineStr">
        <is>
          <t>Minced Pork, Soya Sauce, Cornstarch, Mirin, Mushroom, Egg, Goji Berry, Morel Mushrrom</t>
        </is>
      </c>
      <c r="C131" s="21" t="inlineStr">
        <is>
          <t>Dinner</t>
        </is>
      </c>
      <c r="D131" s="26" t="inlineStr">
        <is>
          <t>Chinese</t>
        </is>
      </c>
      <c r="E131" s="21" t="inlineStr">
        <is>
          <t>Med</t>
        </is>
      </c>
      <c r="F131" s="23" t="inlineStr">
        <is>
          <t>https://www.instagram.com/reel/DB-66qvs0aV/?igsh=dXJkMTEyMWQxcTA3</t>
        </is>
      </c>
      <c r="G131" s="28">
        <f>IF(AND(ISNUMBER(SEARCH("Breakfast",$C131)),$D131="Asian"),RAND(),"")</f>
        <v/>
      </c>
      <c r="H131" s="28">
        <f>IF(AND(ISNUMBER(SEARCH("Breakfast",$C131)),$D131="Chinese"),RAND(),"")</f>
        <v/>
      </c>
      <c r="I131" s="28">
        <f>IF(AND(ISNUMBER(SEARCH("Breakfast",$C131)),$D131="Western"),RAND(),"")</f>
        <v/>
      </c>
      <c r="J131" s="28">
        <f>IF(AND(ISNUMBER(SEARCH("Lunch",$C131)),$D131="Asian"),RAND(),"")</f>
        <v/>
      </c>
      <c r="K131" s="28">
        <f>IF(AND(ISNUMBER(SEARCH("Lunch",$C131)),$D131="Chinese"),RAND(),"")</f>
        <v/>
      </c>
      <c r="L131" s="28">
        <f>IF(AND(ISNUMBER(SEARCH("Lunch",$C131)),$D131="Western"),RAND(),"")</f>
        <v/>
      </c>
      <c r="M131" s="28">
        <f>IF(AND(ISNUMBER(SEARCH("Dinner",$C131)),$D131="Asian"),RAND(),"")</f>
        <v/>
      </c>
      <c r="N131" s="28">
        <f>IF(AND(ISNUMBER(SEARCH("Dinner",$C131)),$D131="Chinese"),RAND(),"")</f>
        <v/>
      </c>
      <c r="O131" s="28">
        <f>IF(AND(ISNUMBER(SEARCH("Dinner",$C131)),$D131="Western"),RAND(),"")</f>
        <v/>
      </c>
      <c r="P131" s="0" t="b">
        <v>1</v>
      </c>
    </row>
    <row r="132" ht="15.75" customHeight="1" s="36">
      <c r="A132" s="18" t="inlineStr">
        <is>
          <t>Edamame</t>
        </is>
      </c>
      <c r="B132" s="18" t="inlineStr">
        <is>
          <t>—</t>
        </is>
      </c>
      <c r="C132" s="17" t="inlineStr">
        <is>
          <t>Dinner</t>
        </is>
      </c>
      <c r="D132" s="29" t="inlineStr">
        <is>
          <t>Asian</t>
        </is>
      </c>
      <c r="E132" s="17" t="inlineStr">
        <is>
          <t>Med</t>
        </is>
      </c>
      <c r="F132" s="18" t="n"/>
      <c r="G132" s="27">
        <f>IF(AND(ISNUMBER(SEARCH("Breakfast",$C132)),$D132="Asian"),RAND(),"")</f>
        <v/>
      </c>
      <c r="H132" s="27">
        <f>IF(AND(ISNUMBER(SEARCH("Breakfast",$C132)),$D132="Chinese"),RAND(),"")</f>
        <v/>
      </c>
      <c r="I132" s="27">
        <f>IF(AND(ISNUMBER(SEARCH("Breakfast",$C132)),$D132="Western"),RAND(),"")</f>
        <v/>
      </c>
      <c r="J132" s="27">
        <f>IF(AND(ISNUMBER(SEARCH("Lunch",$C132)),$D132="Asian"),RAND(),"")</f>
        <v/>
      </c>
      <c r="K132" s="27">
        <f>IF(AND(ISNUMBER(SEARCH("Lunch",$C132)),$D132="Chinese"),RAND(),"")</f>
        <v/>
      </c>
      <c r="L132" s="27">
        <f>IF(AND(ISNUMBER(SEARCH("Lunch",$C132)),$D132="Western"),RAND(),"")</f>
        <v/>
      </c>
      <c r="M132" s="27">
        <f>IF(AND(ISNUMBER(SEARCH("Dinner",$C132)),$D132="Asian"),RAND(),"")</f>
        <v/>
      </c>
      <c r="N132" s="27">
        <f>IF(AND(ISNUMBER(SEARCH("Dinner",$C132)),$D132="Chinese"),RAND(),"")</f>
        <v/>
      </c>
      <c r="O132" s="27">
        <f>IF(AND(ISNUMBER(SEARCH("Dinner",$C132)),$D132="Western"),RAND(),"")</f>
        <v/>
      </c>
    </row>
    <row r="133" ht="15.75" customHeight="1" s="36">
      <c r="A133" s="22" t="inlineStr">
        <is>
          <t>Edamame Potato Salad</t>
        </is>
      </c>
      <c r="B133" s="22" t="inlineStr">
        <is>
          <t>Potato, Edamame, Mayo, Wasabi</t>
        </is>
      </c>
      <c r="C133" s="21" t="inlineStr">
        <is>
          <t>Lunch</t>
        </is>
      </c>
      <c r="D133" s="30" t="inlineStr">
        <is>
          <t>Western</t>
        </is>
      </c>
      <c r="E133" s="21" t="inlineStr">
        <is>
          <t>Med</t>
        </is>
      </c>
      <c r="F133" s="23" t="inlineStr">
        <is>
          <t>https://www.instagram.com/reel/C7nNfEpPm6b/?igsh=ZDl6eG5tczNpOTR1</t>
        </is>
      </c>
      <c r="G133" s="28">
        <f>IF(AND(ISNUMBER(SEARCH("Breakfast",$C133)),$D133="Asian"),RAND(),"")</f>
        <v/>
      </c>
      <c r="H133" s="28">
        <f>IF(AND(ISNUMBER(SEARCH("Breakfast",$C133)),$D133="Chinese"),RAND(),"")</f>
        <v/>
      </c>
      <c r="I133" s="28">
        <f>IF(AND(ISNUMBER(SEARCH("Breakfast",$C133)),$D133="Western"),RAND(),"")</f>
        <v/>
      </c>
      <c r="J133" s="28">
        <f>IF(AND(ISNUMBER(SEARCH("Lunch",$C133)),$D133="Asian"),RAND(),"")</f>
        <v/>
      </c>
      <c r="K133" s="28">
        <f>IF(AND(ISNUMBER(SEARCH("Lunch",$C133)),$D133="Chinese"),RAND(),"")</f>
        <v/>
      </c>
      <c r="L133" s="28">
        <f>IF(AND(ISNUMBER(SEARCH("Lunch",$C133)),$D133="Western"),RAND(),"")</f>
        <v/>
      </c>
      <c r="M133" s="28">
        <f>IF(AND(ISNUMBER(SEARCH("Dinner",$C133)),$D133="Asian"),RAND(),"")</f>
        <v/>
      </c>
      <c r="N133" s="28">
        <f>IF(AND(ISNUMBER(SEARCH("Dinner",$C133)),$D133="Chinese"),RAND(),"")</f>
        <v/>
      </c>
      <c r="O133" s="28">
        <f>IF(AND(ISNUMBER(SEARCH("Dinner",$C133)),$D133="Western"),RAND(),"")</f>
        <v/>
      </c>
    </row>
    <row r="134" ht="15.75" customHeight="1" s="36">
      <c r="A134" s="18" t="inlineStr">
        <is>
          <t>Egg</t>
        </is>
      </c>
      <c r="B134" s="18" t="inlineStr">
        <is>
          <t>Tofu, Green onion, Sesame seed, Soy sauce, Chilli oil, Sugar, Sesame oil, Garlic</t>
        </is>
      </c>
      <c r="C134" s="17" t="inlineStr">
        <is>
          <t>Dinner</t>
        </is>
      </c>
      <c r="D134" s="26" t="inlineStr">
        <is>
          <t>Chinese</t>
        </is>
      </c>
      <c r="E134" s="17" t="inlineStr">
        <is>
          <t>Med</t>
        </is>
      </c>
      <c r="F134" s="19" t="inlineStr">
        <is>
          <t>https://www.instagram.com/reel/DUDiZTGFcoN/?igsh=dWU4ejcyaWplZmxv</t>
        </is>
      </c>
      <c r="G134" s="27">
        <f>IF(AND(ISNUMBER(SEARCH("Breakfast",$C134)),$D134="Asian"),RAND(),"")</f>
        <v/>
      </c>
      <c r="H134" s="27">
        <f>IF(AND(ISNUMBER(SEARCH("Breakfast",$C134)),$D134="Chinese"),RAND(),"")</f>
        <v/>
      </c>
      <c r="I134" s="27">
        <f>IF(AND(ISNUMBER(SEARCH("Breakfast",$C134)),$D134="Western"),RAND(),"")</f>
        <v/>
      </c>
      <c r="J134" s="27">
        <f>IF(AND(ISNUMBER(SEARCH("Lunch",$C134)),$D134="Asian"),RAND(),"")</f>
        <v/>
      </c>
      <c r="K134" s="27">
        <f>IF(AND(ISNUMBER(SEARCH("Lunch",$C134)),$D134="Chinese"),RAND(),"")</f>
        <v/>
      </c>
      <c r="L134" s="27">
        <f>IF(AND(ISNUMBER(SEARCH("Lunch",$C134)),$D134="Western"),RAND(),"")</f>
        <v/>
      </c>
      <c r="M134" s="27">
        <f>IF(AND(ISNUMBER(SEARCH("Dinner",$C134)),$D134="Asian"),RAND(),"")</f>
        <v/>
      </c>
      <c r="N134" s="27">
        <f>IF(AND(ISNUMBER(SEARCH("Dinner",$C134)),$D134="Chinese"),RAND(),"")</f>
        <v/>
      </c>
      <c r="O134" s="27">
        <f>IF(AND(ISNUMBER(SEARCH("Dinner",$C134)),$D134="Western"),RAND(),"")</f>
        <v/>
      </c>
    </row>
    <row r="135" ht="15.75" customHeight="1" s="36">
      <c r="A135" s="22" t="inlineStr">
        <is>
          <t>Egg Drop Soup</t>
        </is>
      </c>
      <c r="B135" s="22" t="inlineStr">
        <is>
          <t>Eggs, Cornflour, Chicken Stock, Spring Onions, Sesame Oil', Spinach</t>
        </is>
      </c>
      <c r="C135" s="21" t="inlineStr">
        <is>
          <t>Dinner</t>
        </is>
      </c>
      <c r="D135" s="26" t="inlineStr">
        <is>
          <t>Chinese</t>
        </is>
      </c>
      <c r="E135" s="21" t="inlineStr">
        <is>
          <t>Low</t>
        </is>
      </c>
      <c r="F135" s="23" t="inlineStr">
        <is>
          <t>https://www.instagram.com/reel/CpyXRxUIeTw/?igshid=MzRlODBiNWFlZA==</t>
        </is>
      </c>
      <c r="G135" s="28">
        <f>IF(AND(ISNUMBER(SEARCH("Breakfast",$C135)),$D135="Asian"),RAND(),"")</f>
        <v/>
      </c>
      <c r="H135" s="28">
        <f>IF(AND(ISNUMBER(SEARCH("Breakfast",$C135)),$D135="Chinese"),RAND(),"")</f>
        <v/>
      </c>
      <c r="I135" s="28">
        <f>IF(AND(ISNUMBER(SEARCH("Breakfast",$C135)),$D135="Western"),RAND(),"")</f>
        <v/>
      </c>
      <c r="J135" s="28">
        <f>IF(AND(ISNUMBER(SEARCH("Lunch",$C135)),$D135="Asian"),RAND(),"")</f>
        <v/>
      </c>
      <c r="K135" s="28">
        <f>IF(AND(ISNUMBER(SEARCH("Lunch",$C135)),$D135="Chinese"),RAND(),"")</f>
        <v/>
      </c>
      <c r="L135" s="28">
        <f>IF(AND(ISNUMBER(SEARCH("Lunch",$C135)),$D135="Western"),RAND(),"")</f>
        <v/>
      </c>
      <c r="M135" s="28">
        <f>IF(AND(ISNUMBER(SEARCH("Dinner",$C135)),$D135="Asian"),RAND(),"")</f>
        <v/>
      </c>
      <c r="N135" s="28">
        <f>IF(AND(ISNUMBER(SEARCH("Dinner",$C135)),$D135="Chinese"),RAND(),"")</f>
        <v/>
      </c>
      <c r="O135" s="28">
        <f>IF(AND(ISNUMBER(SEARCH("Dinner",$C135)),$D135="Western"),RAND(),"")</f>
        <v/>
      </c>
      <c r="P135" s="0" t="b">
        <v>1</v>
      </c>
    </row>
    <row r="136" ht="15.75" customHeight="1" s="36">
      <c r="A136" s="18" t="inlineStr">
        <is>
          <t>Egg Rice Paper</t>
        </is>
      </c>
      <c r="B136" s="18" t="inlineStr">
        <is>
          <t>Rice Paper, Egg, Spring Onion</t>
        </is>
      </c>
      <c r="C136" s="17" t="inlineStr">
        <is>
          <t>Breakfast</t>
        </is>
      </c>
      <c r="D136" s="29" t="inlineStr">
        <is>
          <t>Asian</t>
        </is>
      </c>
      <c r="E136" s="17" t="inlineStr">
        <is>
          <t>Med</t>
        </is>
      </c>
      <c r="F136" s="19" t="inlineStr">
        <is>
          <t>https://www.instagram.com/reel/C8L6pvWP0TX/?igsh=MW02NnM5Z3huMzlxYg==</t>
        </is>
      </c>
      <c r="G136" s="27">
        <f>IF(AND(ISNUMBER(SEARCH("Breakfast",$C136)),$D136="Asian"),RAND(),"")</f>
        <v/>
      </c>
      <c r="H136" s="27">
        <f>IF(AND(ISNUMBER(SEARCH("Breakfast",$C136)),$D136="Chinese"),RAND(),"")</f>
        <v/>
      </c>
      <c r="I136" s="27">
        <f>IF(AND(ISNUMBER(SEARCH("Breakfast",$C136)),$D136="Western"),RAND(),"")</f>
        <v/>
      </c>
      <c r="J136" s="27">
        <f>IF(AND(ISNUMBER(SEARCH("Lunch",$C136)),$D136="Asian"),RAND(),"")</f>
        <v/>
      </c>
      <c r="K136" s="27">
        <f>IF(AND(ISNUMBER(SEARCH("Lunch",$C136)),$D136="Chinese"),RAND(),"")</f>
        <v/>
      </c>
      <c r="L136" s="27">
        <f>IF(AND(ISNUMBER(SEARCH("Lunch",$C136)),$D136="Western"),RAND(),"")</f>
        <v/>
      </c>
      <c r="M136" s="27">
        <f>IF(AND(ISNUMBER(SEARCH("Dinner",$C136)),$D136="Asian"),RAND(),"")</f>
        <v/>
      </c>
      <c r="N136" s="27">
        <f>IF(AND(ISNUMBER(SEARCH("Dinner",$C136)),$D136="Chinese"),RAND(),"")</f>
        <v/>
      </c>
      <c r="O136" s="27">
        <f>IF(AND(ISNUMBER(SEARCH("Dinner",$C136)),$D136="Western"),RAND(),"")</f>
        <v/>
      </c>
    </row>
    <row r="137" ht="15.75" customHeight="1" s="36">
      <c r="A137" s="22" t="inlineStr">
        <is>
          <t>Egg Toast</t>
        </is>
      </c>
      <c r="B137" s="22" t="inlineStr">
        <is>
          <t>Bread, Butter, sausage, crab stick, cheese, Tomato, Avocado, egg</t>
        </is>
      </c>
      <c r="C137" s="21" t="inlineStr">
        <is>
          <t>Breakfast</t>
        </is>
      </c>
      <c r="D137" s="30" t="inlineStr">
        <is>
          <t>Western</t>
        </is>
      </c>
      <c r="E137" s="21" t="inlineStr">
        <is>
          <t>High</t>
        </is>
      </c>
      <c r="F137" s="23" t="inlineStr">
        <is>
          <t>https://www.instagram.com/reel/ChPa-G_pejS/?igshid=NTdlMDg3MTY=</t>
        </is>
      </c>
      <c r="G137" s="28">
        <f>IF(AND(ISNUMBER(SEARCH("Breakfast",$C137)),$D137="Asian"),RAND(),"")</f>
        <v/>
      </c>
      <c r="H137" s="28">
        <f>IF(AND(ISNUMBER(SEARCH("Breakfast",$C137)),$D137="Chinese"),RAND(),"")</f>
        <v/>
      </c>
      <c r="I137" s="28">
        <f>IF(AND(ISNUMBER(SEARCH("Breakfast",$C137)),$D137="Western"),RAND(),"")</f>
        <v/>
      </c>
      <c r="J137" s="28">
        <f>IF(AND(ISNUMBER(SEARCH("Lunch",$C137)),$D137="Asian"),RAND(),"")</f>
        <v/>
      </c>
      <c r="K137" s="28">
        <f>IF(AND(ISNUMBER(SEARCH("Lunch",$C137)),$D137="Chinese"),RAND(),"")</f>
        <v/>
      </c>
      <c r="L137" s="28">
        <f>IF(AND(ISNUMBER(SEARCH("Lunch",$C137)),$D137="Western"),RAND(),"")</f>
        <v/>
      </c>
      <c r="M137" s="28">
        <f>IF(AND(ISNUMBER(SEARCH("Dinner",$C137)),$D137="Asian"),RAND(),"")</f>
        <v/>
      </c>
      <c r="N137" s="28">
        <f>IF(AND(ISNUMBER(SEARCH("Dinner",$C137)),$D137="Chinese"),RAND(),"")</f>
        <v/>
      </c>
      <c r="O137" s="28">
        <f>IF(AND(ISNUMBER(SEARCH("Dinner",$C137)),$D137="Western"),RAND(),"")</f>
        <v/>
      </c>
    </row>
    <row r="138" ht="15.75" customHeight="1" s="36">
      <c r="A138" s="18" t="inlineStr">
        <is>
          <t>Egg Tofu</t>
        </is>
      </c>
      <c r="B138" s="18" t="inlineStr">
        <is>
          <t>—</t>
        </is>
      </c>
      <c r="C138" s="17" t="inlineStr">
        <is>
          <t>Dinner</t>
        </is>
      </c>
      <c r="D138" s="26" t="inlineStr">
        <is>
          <t>Chinese</t>
        </is>
      </c>
      <c r="E138" s="17" t="inlineStr">
        <is>
          <t>Med</t>
        </is>
      </c>
      <c r="F138" s="18" t="n"/>
      <c r="G138" s="27">
        <f>IF(AND(ISNUMBER(SEARCH("Breakfast",$C138)),$D138="Asian"),RAND(),"")</f>
        <v/>
      </c>
      <c r="H138" s="27">
        <f>IF(AND(ISNUMBER(SEARCH("Breakfast",$C138)),$D138="Chinese"),RAND(),"")</f>
        <v/>
      </c>
      <c r="I138" s="27">
        <f>IF(AND(ISNUMBER(SEARCH("Breakfast",$C138)),$D138="Western"),RAND(),"")</f>
        <v/>
      </c>
      <c r="J138" s="27">
        <f>IF(AND(ISNUMBER(SEARCH("Lunch",$C138)),$D138="Asian"),RAND(),"")</f>
        <v/>
      </c>
      <c r="K138" s="27">
        <f>IF(AND(ISNUMBER(SEARCH("Lunch",$C138)),$D138="Chinese"),RAND(),"")</f>
        <v/>
      </c>
      <c r="L138" s="27">
        <f>IF(AND(ISNUMBER(SEARCH("Lunch",$C138)),$D138="Western"),RAND(),"")</f>
        <v/>
      </c>
      <c r="M138" s="27">
        <f>IF(AND(ISNUMBER(SEARCH("Dinner",$C138)),$D138="Asian"),RAND(),"")</f>
        <v/>
      </c>
      <c r="N138" s="27">
        <f>IF(AND(ISNUMBER(SEARCH("Dinner",$C138)),$D138="Chinese"),RAND(),"")</f>
        <v/>
      </c>
      <c r="O138" s="27">
        <f>IF(AND(ISNUMBER(SEARCH("Dinner",$C138)),$D138="Western"),RAND(),"")</f>
        <v/>
      </c>
    </row>
    <row r="139" ht="15.75" customHeight="1" s="36">
      <c r="A139" s="22" t="inlineStr">
        <is>
          <t>Emperor chicken</t>
        </is>
      </c>
      <c r="B139" s="22" t="inlineStr">
        <is>
          <t>Chicken, Spice Pack, Whole Chicken, Herbal spices</t>
        </is>
      </c>
      <c r="C139" s="21" t="inlineStr">
        <is>
          <t>Dinner</t>
        </is>
      </c>
      <c r="D139" s="26" t="inlineStr">
        <is>
          <t>Chinese</t>
        </is>
      </c>
      <c r="E139" s="21" t="inlineStr">
        <is>
          <t>High</t>
        </is>
      </c>
      <c r="F139" s="22" t="n"/>
      <c r="G139" s="28">
        <f>IF(AND(ISNUMBER(SEARCH("Breakfast",$C139)),$D139="Asian"),RAND(),"")</f>
        <v/>
      </c>
      <c r="H139" s="28">
        <f>IF(AND(ISNUMBER(SEARCH("Breakfast",$C139)),$D139="Chinese"),RAND(),"")</f>
        <v/>
      </c>
      <c r="I139" s="28">
        <f>IF(AND(ISNUMBER(SEARCH("Breakfast",$C139)),$D139="Western"),RAND(),"")</f>
        <v/>
      </c>
      <c r="J139" s="28">
        <f>IF(AND(ISNUMBER(SEARCH("Lunch",$C139)),$D139="Asian"),RAND(),"")</f>
        <v/>
      </c>
      <c r="K139" s="28">
        <f>IF(AND(ISNUMBER(SEARCH("Lunch",$C139)),$D139="Chinese"),RAND(),"")</f>
        <v/>
      </c>
      <c r="L139" s="28">
        <f>IF(AND(ISNUMBER(SEARCH("Lunch",$C139)),$D139="Western"),RAND(),"")</f>
        <v/>
      </c>
      <c r="M139" s="28">
        <f>IF(AND(ISNUMBER(SEARCH("Dinner",$C139)),$D139="Asian"),RAND(),"")</f>
        <v/>
      </c>
      <c r="N139" s="28">
        <f>IF(AND(ISNUMBER(SEARCH("Dinner",$C139)),$D139="Chinese"),RAND(),"")</f>
        <v/>
      </c>
      <c r="O139" s="28">
        <f>IF(AND(ISNUMBER(SEARCH("Dinner",$C139)),$D139="Western"),RAND(),"")</f>
        <v/>
      </c>
    </row>
    <row r="140" ht="15.75" customHeight="1" s="36">
      <c r="A140" s="18" t="inlineStr">
        <is>
          <t>Fish Beehoon</t>
        </is>
      </c>
      <c r="B140" s="18" t="inlineStr">
        <is>
          <t>Soup pack, Fish Slices, 米线, Tomatoes</t>
        </is>
      </c>
      <c r="C140" s="17" t="inlineStr">
        <is>
          <t>Lunch</t>
        </is>
      </c>
      <c r="D140" s="26" t="inlineStr">
        <is>
          <t>Chinese</t>
        </is>
      </c>
      <c r="E140" s="17" t="inlineStr">
        <is>
          <t>Med</t>
        </is>
      </c>
      <c r="F140" s="18" t="n"/>
      <c r="G140" s="27">
        <f>IF(AND(ISNUMBER(SEARCH("Breakfast",$C140)),$D140="Asian"),RAND(),"")</f>
        <v/>
      </c>
      <c r="H140" s="27">
        <f>IF(AND(ISNUMBER(SEARCH("Breakfast",$C140)),$D140="Chinese"),RAND(),"")</f>
        <v/>
      </c>
      <c r="I140" s="27">
        <f>IF(AND(ISNUMBER(SEARCH("Breakfast",$C140)),$D140="Western"),RAND(),"")</f>
        <v/>
      </c>
      <c r="J140" s="27">
        <f>IF(AND(ISNUMBER(SEARCH("Lunch",$C140)),$D140="Asian"),RAND(),"")</f>
        <v/>
      </c>
      <c r="K140" s="27">
        <f>IF(AND(ISNUMBER(SEARCH("Lunch",$C140)),$D140="Chinese"),RAND(),"")</f>
        <v/>
      </c>
      <c r="L140" s="27">
        <f>IF(AND(ISNUMBER(SEARCH("Lunch",$C140)),$D140="Western"),RAND(),"")</f>
        <v/>
      </c>
      <c r="M140" s="27">
        <f>IF(AND(ISNUMBER(SEARCH("Dinner",$C140)),$D140="Asian"),RAND(),"")</f>
        <v/>
      </c>
      <c r="N140" s="27">
        <f>IF(AND(ISNUMBER(SEARCH("Dinner",$C140)),$D140="Chinese"),RAND(),"")</f>
        <v/>
      </c>
      <c r="O140" s="27">
        <f>IF(AND(ISNUMBER(SEARCH("Dinner",$C140)),$D140="Western"),RAND(),"")</f>
        <v/>
      </c>
    </row>
    <row r="141" ht="15.75" customHeight="1" s="36">
      <c r="A141" s="22" t="inlineStr">
        <is>
          <t>Fish Head curry</t>
        </is>
      </c>
      <c r="B141" s="22" t="inlineStr">
        <is>
          <t>curry pack, Fish, lady fingers, Tomato, Eggplant, coconut milk X120g, pineapple</t>
        </is>
      </c>
      <c r="C141" s="21" t="inlineStr">
        <is>
          <t>Dinner</t>
        </is>
      </c>
      <c r="D141" s="29" t="inlineStr">
        <is>
          <t>Asian</t>
        </is>
      </c>
      <c r="E141" s="21" t="inlineStr">
        <is>
          <t>Med</t>
        </is>
      </c>
      <c r="F141" s="22" t="n"/>
      <c r="G141" s="28">
        <f>IF(AND(ISNUMBER(SEARCH("Breakfast",$C141)),$D141="Asian"),RAND(),"")</f>
        <v/>
      </c>
      <c r="H141" s="28">
        <f>IF(AND(ISNUMBER(SEARCH("Breakfast",$C141)),$D141="Chinese"),RAND(),"")</f>
        <v/>
      </c>
      <c r="I141" s="28">
        <f>IF(AND(ISNUMBER(SEARCH("Breakfast",$C141)),$D141="Western"),RAND(),"")</f>
        <v/>
      </c>
      <c r="J141" s="28">
        <f>IF(AND(ISNUMBER(SEARCH("Lunch",$C141)),$D141="Asian"),RAND(),"")</f>
        <v/>
      </c>
      <c r="K141" s="28">
        <f>IF(AND(ISNUMBER(SEARCH("Lunch",$C141)),$D141="Chinese"),RAND(),"")</f>
        <v/>
      </c>
      <c r="L141" s="28">
        <f>IF(AND(ISNUMBER(SEARCH("Lunch",$C141)),$D141="Western"),RAND(),"")</f>
        <v/>
      </c>
      <c r="M141" s="28">
        <f>IF(AND(ISNUMBER(SEARCH("Dinner",$C141)),$D141="Asian"),RAND(),"")</f>
        <v/>
      </c>
      <c r="N141" s="28">
        <f>IF(AND(ISNUMBER(SEARCH("Dinner",$C141)),$D141="Chinese"),RAND(),"")</f>
        <v/>
      </c>
      <c r="O141" s="28">
        <f>IF(AND(ISNUMBER(SEARCH("Dinner",$C141)),$D141="Western"),RAND(),"")</f>
        <v/>
      </c>
    </row>
    <row r="142" ht="15.75" customHeight="1" s="36">
      <c r="A142" s="18" t="inlineStr">
        <is>
          <t>Fish Porridge</t>
        </is>
      </c>
      <c r="B142" s="18" t="inlineStr">
        <is>
          <t>Fish, Rice, Ginger, Green Onion, Egg, Cornstarch, White Pepper, Fish Sauce</t>
        </is>
      </c>
      <c r="C142" s="17" t="inlineStr">
        <is>
          <t>Lunch</t>
        </is>
      </c>
      <c r="D142" s="29" t="inlineStr">
        <is>
          <t>Asian</t>
        </is>
      </c>
      <c r="E142" s="17" t="inlineStr">
        <is>
          <t>Med</t>
        </is>
      </c>
      <c r="F142" s="19" t="inlineStr">
        <is>
          <t>https://youtu.be/TO2pgMMLfsQ?si=SLgpvteopStpryOo</t>
        </is>
      </c>
      <c r="G142" s="27">
        <f>IF(AND(ISNUMBER(SEARCH("Breakfast",$C142)),$D142="Asian"),RAND(),"")</f>
        <v/>
      </c>
      <c r="H142" s="27">
        <f>IF(AND(ISNUMBER(SEARCH("Breakfast",$C142)),$D142="Chinese"),RAND(),"")</f>
        <v/>
      </c>
      <c r="I142" s="27">
        <f>IF(AND(ISNUMBER(SEARCH("Breakfast",$C142)),$D142="Western"),RAND(),"")</f>
        <v/>
      </c>
      <c r="J142" s="27">
        <f>IF(AND(ISNUMBER(SEARCH("Lunch",$C142)),$D142="Asian"),RAND(),"")</f>
        <v/>
      </c>
      <c r="K142" s="27">
        <f>IF(AND(ISNUMBER(SEARCH("Lunch",$C142)),$D142="Chinese"),RAND(),"")</f>
        <v/>
      </c>
      <c r="L142" s="27">
        <f>IF(AND(ISNUMBER(SEARCH("Lunch",$C142)),$D142="Western"),RAND(),"")</f>
        <v/>
      </c>
      <c r="M142" s="27">
        <f>IF(AND(ISNUMBER(SEARCH("Dinner",$C142)),$D142="Asian"),RAND(),"")</f>
        <v/>
      </c>
      <c r="N142" s="27">
        <f>IF(AND(ISNUMBER(SEARCH("Dinner",$C142)),$D142="Chinese"),RAND(),"")</f>
        <v/>
      </c>
      <c r="O142" s="27">
        <f>IF(AND(ISNUMBER(SEARCH("Dinner",$C142)),$D142="Western"),RAND(),"")</f>
        <v/>
      </c>
    </row>
    <row r="143" ht="15.75" customHeight="1" s="36">
      <c r="A143" s="22" t="inlineStr">
        <is>
          <t>Fish soup</t>
        </is>
      </c>
      <c r="B143" s="22" t="inlineStr">
        <is>
          <t>Fish slices, Ginger, Shaoxing wine, Soy sauce, Sesame oil, White pepper, Garlic, Spring onion, Spinach, Tomato, Fish sauce, Batang Fish, Egg, Corn Starch, 水梅, Vege, Egg Tofu, Iran BIlis Soup, Beehoon, Leafy green, Fish all/Fishcake, Button Mushroom</t>
        </is>
      </c>
      <c r="C143" s="21" t="inlineStr">
        <is>
          <t>Lunch</t>
        </is>
      </c>
      <c r="D143" s="26" t="inlineStr">
        <is>
          <t>Chinese</t>
        </is>
      </c>
      <c r="E143" s="21" t="inlineStr">
        <is>
          <t>High</t>
        </is>
      </c>
      <c r="F143" s="23" t="inlineStr">
        <is>
          <t>https://www.cookingatfff.com/recipe-and-tips/xh6jarfeb6jt6jjo4unijdz3y7q8br</t>
        </is>
      </c>
      <c r="G143" s="28">
        <f>IF(AND(ISNUMBER(SEARCH("Breakfast",$C143)),$D143="Asian"),RAND(),"")</f>
        <v/>
      </c>
      <c r="H143" s="28">
        <f>IF(AND(ISNUMBER(SEARCH("Breakfast",$C143)),$D143="Chinese"),RAND(),"")</f>
        <v/>
      </c>
      <c r="I143" s="28">
        <f>IF(AND(ISNUMBER(SEARCH("Breakfast",$C143)),$D143="Western"),RAND(),"")</f>
        <v/>
      </c>
      <c r="J143" s="28">
        <f>IF(AND(ISNUMBER(SEARCH("Lunch",$C143)),$D143="Asian"),RAND(),"")</f>
        <v/>
      </c>
      <c r="K143" s="28">
        <f>IF(AND(ISNUMBER(SEARCH("Lunch",$C143)),$D143="Chinese"),RAND(),"")</f>
        <v/>
      </c>
      <c r="L143" s="28">
        <f>IF(AND(ISNUMBER(SEARCH("Lunch",$C143)),$D143="Western"),RAND(),"")</f>
        <v/>
      </c>
      <c r="M143" s="28">
        <f>IF(AND(ISNUMBER(SEARCH("Dinner",$C143)),$D143="Asian"),RAND(),"")</f>
        <v/>
      </c>
      <c r="N143" s="28">
        <f>IF(AND(ISNUMBER(SEARCH("Dinner",$C143)),$D143="Chinese"),RAND(),"")</f>
        <v/>
      </c>
      <c r="O143" s="28">
        <f>IF(AND(ISNUMBER(SEARCH("Dinner",$C143)),$D143="Western"),RAND(),"")</f>
        <v/>
      </c>
      <c r="P143" s="0" t="b">
        <v>1</v>
      </c>
    </row>
    <row r="144" ht="15.75" customHeight="1" s="36">
      <c r="A144" s="18" t="inlineStr">
        <is>
          <t>Focaccia</t>
        </is>
      </c>
      <c r="B144" s="18" t="inlineStr">
        <is>
          <t>Flour, salt, instant yeast, water, olive oil</t>
        </is>
      </c>
      <c r="C144" s="17" t="inlineStr">
        <is>
          <t>Breakfast</t>
        </is>
      </c>
      <c r="D144" s="30" t="inlineStr">
        <is>
          <t>Western</t>
        </is>
      </c>
      <c r="E144" s="17" t="inlineStr">
        <is>
          <t>Med</t>
        </is>
      </c>
      <c r="F144" s="19" t="inlineStr">
        <is>
          <t>https://alexandracooks.com/2018/03/02/overnight-refrigerator-focaccia-best-focaccia/</t>
        </is>
      </c>
      <c r="G144" s="27">
        <f>IF(AND(ISNUMBER(SEARCH("Breakfast",$C144)),$D144="Asian"),RAND(),"")</f>
        <v/>
      </c>
      <c r="H144" s="27">
        <f>IF(AND(ISNUMBER(SEARCH("Breakfast",$C144)),$D144="Chinese"),RAND(),"")</f>
        <v/>
      </c>
      <c r="I144" s="27">
        <f>IF(AND(ISNUMBER(SEARCH("Breakfast",$C144)),$D144="Western"),RAND(),"")</f>
        <v/>
      </c>
      <c r="J144" s="27">
        <f>IF(AND(ISNUMBER(SEARCH("Lunch",$C144)),$D144="Asian"),RAND(),"")</f>
        <v/>
      </c>
      <c r="K144" s="27">
        <f>IF(AND(ISNUMBER(SEARCH("Lunch",$C144)),$D144="Chinese"),RAND(),"")</f>
        <v/>
      </c>
      <c r="L144" s="27">
        <f>IF(AND(ISNUMBER(SEARCH("Lunch",$C144)),$D144="Western"),RAND(),"")</f>
        <v/>
      </c>
      <c r="M144" s="27">
        <f>IF(AND(ISNUMBER(SEARCH("Dinner",$C144)),$D144="Asian"),RAND(),"")</f>
        <v/>
      </c>
      <c r="N144" s="27">
        <f>IF(AND(ISNUMBER(SEARCH("Dinner",$C144)),$D144="Chinese"),RAND(),"")</f>
        <v/>
      </c>
      <c r="O144" s="27">
        <f>IF(AND(ISNUMBER(SEARCH("Dinner",$C144)),$D144="Western"),RAND(),"")</f>
        <v/>
      </c>
    </row>
    <row r="145" ht="15.75" customHeight="1" s="36">
      <c r="A145" s="22" t="inlineStr">
        <is>
          <t>Fondant Potato</t>
        </is>
      </c>
      <c r="B145" s="22" t="inlineStr">
        <is>
          <t>Potato, Garlic, Salt, Pepper, Butter, Rosemary, Thyme, Chicken Stock</t>
        </is>
      </c>
      <c r="C145" s="21" t="inlineStr">
        <is>
          <t>Dinner</t>
        </is>
      </c>
      <c r="D145" s="33" t="inlineStr">
        <is>
          <t>Western</t>
        </is>
      </c>
      <c r="E145" s="21" t="inlineStr">
        <is>
          <t>Low</t>
        </is>
      </c>
      <c r="F145" s="23" t="inlineStr">
        <is>
          <t>https://www.instagram.com/reel/Csq5l8nJTiU/?igshid=MzRlODBiNWFlZA==</t>
        </is>
      </c>
      <c r="G145" s="28">
        <f>IF(AND(ISNUMBER(SEARCH("Breakfast",$C145)),$D145="Asian"),RAND(),"")</f>
        <v/>
      </c>
      <c r="H145" s="28">
        <f>IF(AND(ISNUMBER(SEARCH("Breakfast",$C145)),$D145="Chinese"),RAND(),"")</f>
        <v/>
      </c>
      <c r="I145" s="28">
        <f>IF(AND(ISNUMBER(SEARCH("Breakfast",$C145)),$D145="Western"),RAND(),"")</f>
        <v/>
      </c>
      <c r="J145" s="28">
        <f>IF(AND(ISNUMBER(SEARCH("Lunch",$C145)),$D145="Asian"),RAND(),"")</f>
        <v/>
      </c>
      <c r="K145" s="28">
        <f>IF(AND(ISNUMBER(SEARCH("Lunch",$C145)),$D145="Chinese"),RAND(),"")</f>
        <v/>
      </c>
      <c r="L145" s="28">
        <f>IF(AND(ISNUMBER(SEARCH("Lunch",$C145)),$D145="Western"),RAND(),"")</f>
        <v/>
      </c>
      <c r="M145" s="28">
        <f>IF(AND(ISNUMBER(SEARCH("Dinner",$C145)),$D145="Asian"),RAND(),"")</f>
        <v/>
      </c>
      <c r="N145" s="28">
        <f>IF(AND(ISNUMBER(SEARCH("Dinner",$C145)),$D145="Chinese"),RAND(),"")</f>
        <v/>
      </c>
      <c r="O145" s="28">
        <f>IF(AND(ISNUMBER(SEARCH("Dinner",$C145)),$D145="Western"),RAND(),"")</f>
        <v/>
      </c>
    </row>
    <row r="146" ht="15.75" customHeight="1" s="36">
      <c r="A146" s="18" t="inlineStr">
        <is>
          <t>French Chicken</t>
        </is>
      </c>
      <c r="B146" s="18" t="inlineStr">
        <is>
          <t>Chicken Thigh, All Purpose Flour, Eggs, White Wine, Chicken Stock, Garlic, Cilantro, Butter</t>
        </is>
      </c>
      <c r="C146" s="17" t="inlineStr">
        <is>
          <t>Lunch</t>
        </is>
      </c>
      <c r="D146" s="33" t="inlineStr">
        <is>
          <t>Western</t>
        </is>
      </c>
      <c r="E146" s="17" t="inlineStr">
        <is>
          <t>Low</t>
        </is>
      </c>
      <c r="F146" s="19" t="inlineStr">
        <is>
          <t>https://youtu.be/9w95MBoRhz4</t>
        </is>
      </c>
      <c r="G146" s="27">
        <f>IF(AND(ISNUMBER(SEARCH("Breakfast",$C146)),$D146="Asian"),RAND(),"")</f>
        <v/>
      </c>
      <c r="H146" s="27">
        <f>IF(AND(ISNUMBER(SEARCH("Breakfast",$C146)),$D146="Chinese"),RAND(),"")</f>
        <v/>
      </c>
      <c r="I146" s="27">
        <f>IF(AND(ISNUMBER(SEARCH("Breakfast",$C146)),$D146="Western"),RAND(),"")</f>
        <v/>
      </c>
      <c r="J146" s="27">
        <f>IF(AND(ISNUMBER(SEARCH("Lunch",$C146)),$D146="Asian"),RAND(),"")</f>
        <v/>
      </c>
      <c r="K146" s="27">
        <f>IF(AND(ISNUMBER(SEARCH("Lunch",$C146)),$D146="Chinese"),RAND(),"")</f>
        <v/>
      </c>
      <c r="L146" s="27">
        <f>IF(AND(ISNUMBER(SEARCH("Lunch",$C146)),$D146="Western"),RAND(),"")</f>
        <v/>
      </c>
      <c r="M146" s="27">
        <f>IF(AND(ISNUMBER(SEARCH("Dinner",$C146)),$D146="Asian"),RAND(),"")</f>
        <v/>
      </c>
      <c r="N146" s="27">
        <f>IF(AND(ISNUMBER(SEARCH("Dinner",$C146)),$D146="Chinese"),RAND(),"")</f>
        <v/>
      </c>
      <c r="O146" s="27">
        <f>IF(AND(ISNUMBER(SEARCH("Dinner",$C146)),$D146="Western"),RAND(),"")</f>
        <v/>
      </c>
    </row>
    <row r="147" ht="15.75" customHeight="1" s="36">
      <c r="A147" s="22" t="inlineStr">
        <is>
          <t>French Toast</t>
        </is>
      </c>
      <c r="B147" s="22" t="inlineStr">
        <is>
          <t>Milk, Corn Starch, Vanilla Extract, Cinnamon, White Bread, Butter</t>
        </is>
      </c>
      <c r="C147" s="21" t="inlineStr">
        <is>
          <t>Breakfast</t>
        </is>
      </c>
      <c r="D147" s="30" t="inlineStr">
        <is>
          <t>Western</t>
        </is>
      </c>
      <c r="E147" s="21" t="inlineStr">
        <is>
          <t>High</t>
        </is>
      </c>
      <c r="F147" s="22" t="n"/>
      <c r="G147" s="28">
        <f>IF(AND(ISNUMBER(SEARCH("Breakfast",$C147)),$D147="Asian"),RAND(),"")</f>
        <v/>
      </c>
      <c r="H147" s="28">
        <f>IF(AND(ISNUMBER(SEARCH("Breakfast",$C147)),$D147="Chinese"),RAND(),"")</f>
        <v/>
      </c>
      <c r="I147" s="28">
        <f>IF(AND(ISNUMBER(SEARCH("Breakfast",$C147)),$D147="Western"),RAND(),"")</f>
        <v/>
      </c>
      <c r="J147" s="28">
        <f>IF(AND(ISNUMBER(SEARCH("Lunch",$C147)),$D147="Asian"),RAND(),"")</f>
        <v/>
      </c>
      <c r="K147" s="28">
        <f>IF(AND(ISNUMBER(SEARCH("Lunch",$C147)),$D147="Chinese"),RAND(),"")</f>
        <v/>
      </c>
      <c r="L147" s="28">
        <f>IF(AND(ISNUMBER(SEARCH("Lunch",$C147)),$D147="Western"),RAND(),"")</f>
        <v/>
      </c>
      <c r="M147" s="28">
        <f>IF(AND(ISNUMBER(SEARCH("Dinner",$C147)),$D147="Asian"),RAND(),"")</f>
        <v/>
      </c>
      <c r="N147" s="28">
        <f>IF(AND(ISNUMBER(SEARCH("Dinner",$C147)),$D147="Chinese"),RAND(),"")</f>
        <v/>
      </c>
      <c r="O147" s="28">
        <f>IF(AND(ISNUMBER(SEARCH("Dinner",$C147)),$D147="Western"),RAND(),"")</f>
        <v/>
      </c>
    </row>
    <row r="148" ht="15.75" customHeight="1" s="36">
      <c r="A148" s="18" t="inlineStr">
        <is>
          <t>Fried Chicken</t>
        </is>
      </c>
      <c r="B148" s="18" t="inlineStr">
        <is>
          <t>Chicken Thigh, Eggs, Salt, Parsley, Mayonaise, Mozerella Cheese, Flour, Chicken Breast, Potato Starch, Basil, Soy Sauce, Garlic, Five Spices Powder, White Pepper, Milk</t>
        </is>
      </c>
      <c r="C148" s="17" t="inlineStr">
        <is>
          <t>Dinner</t>
        </is>
      </c>
      <c r="D148" s="26" t="inlineStr">
        <is>
          <t>Chinese</t>
        </is>
      </c>
      <c r="E148" s="17" t="inlineStr">
        <is>
          <t>Med</t>
        </is>
      </c>
      <c r="F148" s="19" t="inlineStr">
        <is>
          <t>https://www.instagram.com/reel/DC2N6vaAKDw/?igsh=enRzbDR3dTB3N2M=</t>
        </is>
      </c>
      <c r="G148" s="27">
        <f>IF(AND(ISNUMBER(SEARCH("Breakfast",$C148)),$D148="Asian"),RAND(),"")</f>
        <v/>
      </c>
      <c r="H148" s="27">
        <f>IF(AND(ISNUMBER(SEARCH("Breakfast",$C148)),$D148="Chinese"),RAND(),"")</f>
        <v/>
      </c>
      <c r="I148" s="27">
        <f>IF(AND(ISNUMBER(SEARCH("Breakfast",$C148)),$D148="Western"),RAND(),"")</f>
        <v/>
      </c>
      <c r="J148" s="27">
        <f>IF(AND(ISNUMBER(SEARCH("Lunch",$C148)),$D148="Asian"),RAND(),"")</f>
        <v/>
      </c>
      <c r="K148" s="27">
        <f>IF(AND(ISNUMBER(SEARCH("Lunch",$C148)),$D148="Chinese"),RAND(),"")</f>
        <v/>
      </c>
      <c r="L148" s="27">
        <f>IF(AND(ISNUMBER(SEARCH("Lunch",$C148)),$D148="Western"),RAND(),"")</f>
        <v/>
      </c>
      <c r="M148" s="27">
        <f>IF(AND(ISNUMBER(SEARCH("Dinner",$C148)),$D148="Asian"),RAND(),"")</f>
        <v/>
      </c>
      <c r="N148" s="27">
        <f>IF(AND(ISNUMBER(SEARCH("Dinner",$C148)),$D148="Chinese"),RAND(),"")</f>
        <v/>
      </c>
      <c r="O148" s="27">
        <f>IF(AND(ISNUMBER(SEARCH("Dinner",$C148)),$D148="Western"),RAND(),"")</f>
        <v/>
      </c>
    </row>
    <row r="149" ht="15.75" customHeight="1" s="36">
      <c r="A149" s="22" t="inlineStr">
        <is>
          <t>Fried Chicken Thigh</t>
        </is>
      </c>
      <c r="B149" s="22" t="inlineStr">
        <is>
          <t>Chicken Thigh, Baby Corn, red bell pepper, Rice wine, yoghurt, mayonaise</t>
        </is>
      </c>
      <c r="C149" s="21" t="inlineStr">
        <is>
          <t>Dinner</t>
        </is>
      </c>
      <c r="D149" s="33" t="inlineStr">
        <is>
          <t>Western</t>
        </is>
      </c>
      <c r="E149" s="21" t="inlineStr">
        <is>
          <t>Low</t>
        </is>
      </c>
      <c r="F149" s="23" t="inlineStr">
        <is>
          <t>https://icook.tw/recipes/388377?utm_source=copy&amp;utm_medium=sharev3&amp;utm_campaign=recipe-share</t>
        </is>
      </c>
      <c r="G149" s="28">
        <f>IF(AND(ISNUMBER(SEARCH("Breakfast",$C149)),$D149="Asian"),RAND(),"")</f>
        <v/>
      </c>
      <c r="H149" s="28">
        <f>IF(AND(ISNUMBER(SEARCH("Breakfast",$C149)),$D149="Chinese"),RAND(),"")</f>
        <v/>
      </c>
      <c r="I149" s="28">
        <f>IF(AND(ISNUMBER(SEARCH("Breakfast",$C149)),$D149="Western"),RAND(),"")</f>
        <v/>
      </c>
      <c r="J149" s="28">
        <f>IF(AND(ISNUMBER(SEARCH("Lunch",$C149)),$D149="Asian"),RAND(),"")</f>
        <v/>
      </c>
      <c r="K149" s="28">
        <f>IF(AND(ISNUMBER(SEARCH("Lunch",$C149)),$D149="Chinese"),RAND(),"")</f>
        <v/>
      </c>
      <c r="L149" s="28">
        <f>IF(AND(ISNUMBER(SEARCH("Lunch",$C149)),$D149="Western"),RAND(),"")</f>
        <v/>
      </c>
      <c r="M149" s="28">
        <f>IF(AND(ISNUMBER(SEARCH("Dinner",$C149)),$D149="Asian"),RAND(),"")</f>
        <v/>
      </c>
      <c r="N149" s="28">
        <f>IF(AND(ISNUMBER(SEARCH("Dinner",$C149)),$D149="Chinese"),RAND(),"")</f>
        <v/>
      </c>
      <c r="O149" s="28">
        <f>IF(AND(ISNUMBER(SEARCH("Dinner",$C149)),$D149="Western"),RAND(),"")</f>
        <v/>
      </c>
    </row>
    <row r="150" ht="15.75" customHeight="1" s="36">
      <c r="A150" s="18" t="inlineStr">
        <is>
          <t>Fried Egg with Carrot</t>
        </is>
      </c>
      <c r="B150" s="18" t="inlineStr">
        <is>
          <t>Egg, Carrot, Spring Onion</t>
        </is>
      </c>
      <c r="C150" s="17" t="inlineStr">
        <is>
          <t>Lunch</t>
        </is>
      </c>
      <c r="D150" s="33" t="inlineStr">
        <is>
          <t>Chinese</t>
        </is>
      </c>
      <c r="E150" s="17" t="inlineStr">
        <is>
          <t>Low</t>
        </is>
      </c>
      <c r="F150" s="19" t="inlineStr">
        <is>
          <t>https://icook.tw/recipes/420225?utm_source=copy&amp;utm_medium=sharev3&amp;utm_campaign=recipe-share</t>
        </is>
      </c>
      <c r="G150" s="27">
        <f>IF(AND(ISNUMBER(SEARCH("Breakfast",$C150)),$D150="Asian"),RAND(),"")</f>
        <v/>
      </c>
      <c r="H150" s="27">
        <f>IF(AND(ISNUMBER(SEARCH("Breakfast",$C150)),$D150="Chinese"),RAND(),"")</f>
        <v/>
      </c>
      <c r="I150" s="27">
        <f>IF(AND(ISNUMBER(SEARCH("Breakfast",$C150)),$D150="Western"),RAND(),"")</f>
        <v/>
      </c>
      <c r="J150" s="27">
        <f>IF(AND(ISNUMBER(SEARCH("Lunch",$C150)),$D150="Asian"),RAND(),"")</f>
        <v/>
      </c>
      <c r="K150" s="27">
        <f>IF(AND(ISNUMBER(SEARCH("Lunch",$C150)),$D150="Chinese"),RAND(),"")</f>
        <v/>
      </c>
      <c r="L150" s="27">
        <f>IF(AND(ISNUMBER(SEARCH("Lunch",$C150)),$D150="Western"),RAND(),"")</f>
        <v/>
      </c>
      <c r="M150" s="27">
        <f>IF(AND(ISNUMBER(SEARCH("Dinner",$C150)),$D150="Asian"),RAND(),"")</f>
        <v/>
      </c>
      <c r="N150" s="27">
        <f>IF(AND(ISNUMBER(SEARCH("Dinner",$C150)),$D150="Chinese"),RAND(),"")</f>
        <v/>
      </c>
      <c r="O150" s="27">
        <f>IF(AND(ISNUMBER(SEARCH("Dinner",$C150)),$D150="Western"),RAND(),"")</f>
        <v/>
      </c>
    </row>
    <row r="151" ht="15.75" customHeight="1" s="36">
      <c r="A151" s="22" t="inlineStr">
        <is>
          <t>Fried Enoki Mushroom</t>
        </is>
      </c>
      <c r="B151" s="22" t="inlineStr">
        <is>
          <t>Enoki Mushrooms, Plain Flour, Corn Flour, Baking Powder, Garlic Powder, Onion Powder, pepper, oil</t>
        </is>
      </c>
      <c r="C151" s="21" t="inlineStr">
        <is>
          <t>Dinner</t>
        </is>
      </c>
      <c r="D151" s="29" t="inlineStr">
        <is>
          <t>Asian</t>
        </is>
      </c>
      <c r="E151" s="21" t="inlineStr">
        <is>
          <t>Low</t>
        </is>
      </c>
      <c r="F151" s="23" t="inlineStr">
        <is>
          <t>https://www.instagram.com/reel/CpfsejRMjsD/?igsh=MWk3dGdvNGR0N3R1NA==</t>
        </is>
      </c>
      <c r="G151" s="28">
        <f>IF(AND(ISNUMBER(SEARCH("Breakfast",$C151)),$D151="Asian"),RAND(),"")</f>
        <v/>
      </c>
      <c r="H151" s="28">
        <f>IF(AND(ISNUMBER(SEARCH("Breakfast",$C151)),$D151="Chinese"),RAND(),"")</f>
        <v/>
      </c>
      <c r="I151" s="28">
        <f>IF(AND(ISNUMBER(SEARCH("Breakfast",$C151)),$D151="Western"),RAND(),"")</f>
        <v/>
      </c>
      <c r="J151" s="28">
        <f>IF(AND(ISNUMBER(SEARCH("Lunch",$C151)),$D151="Asian"),RAND(),"")</f>
        <v/>
      </c>
      <c r="K151" s="28">
        <f>IF(AND(ISNUMBER(SEARCH("Lunch",$C151)),$D151="Chinese"),RAND(),"")</f>
        <v/>
      </c>
      <c r="L151" s="28">
        <f>IF(AND(ISNUMBER(SEARCH("Lunch",$C151)),$D151="Western"),RAND(),"")</f>
        <v/>
      </c>
      <c r="M151" s="28">
        <f>IF(AND(ISNUMBER(SEARCH("Dinner",$C151)),$D151="Asian"),RAND(),"")</f>
        <v/>
      </c>
      <c r="N151" s="28">
        <f>IF(AND(ISNUMBER(SEARCH("Dinner",$C151)),$D151="Chinese"),RAND(),"")</f>
        <v/>
      </c>
      <c r="O151" s="28">
        <f>IF(AND(ISNUMBER(SEARCH("Dinner",$C151)),$D151="Western"),RAND(),"")</f>
        <v/>
      </c>
    </row>
    <row r="152" ht="15.75" customHeight="1" s="36">
      <c r="A152" s="18" t="inlineStr">
        <is>
          <t>Fried Jie gua</t>
        </is>
      </c>
      <c r="B152" s="31" t="inlineStr">
        <is>
          <t>节瓜, Egg, Corn Starch, Salt</t>
        </is>
      </c>
      <c r="C152" s="17" t="inlineStr">
        <is>
          <t>Dinner</t>
        </is>
      </c>
      <c r="D152" s="33" t="inlineStr">
        <is>
          <t>Chinese</t>
        </is>
      </c>
      <c r="E152" s="17" t="inlineStr">
        <is>
          <t>Low</t>
        </is>
      </c>
      <c r="F152" s="19" t="inlineStr">
        <is>
          <t>https://icook.tw/recipes/410518?utm_source=copy&amp;utm_medium=sharev3&amp;utm_campaign=recipe-share</t>
        </is>
      </c>
      <c r="G152" s="27">
        <f>IF(AND(ISNUMBER(SEARCH("Breakfast",$C152)),$D152="Asian"),RAND(),"")</f>
        <v/>
      </c>
      <c r="H152" s="27">
        <f>IF(AND(ISNUMBER(SEARCH("Breakfast",$C152)),$D152="Chinese"),RAND(),"")</f>
        <v/>
      </c>
      <c r="I152" s="27">
        <f>IF(AND(ISNUMBER(SEARCH("Breakfast",$C152)),$D152="Western"),RAND(),"")</f>
        <v/>
      </c>
      <c r="J152" s="27">
        <f>IF(AND(ISNUMBER(SEARCH("Lunch",$C152)),$D152="Asian"),RAND(),"")</f>
        <v/>
      </c>
      <c r="K152" s="27">
        <f>IF(AND(ISNUMBER(SEARCH("Lunch",$C152)),$D152="Chinese"),RAND(),"")</f>
        <v/>
      </c>
      <c r="L152" s="27">
        <f>IF(AND(ISNUMBER(SEARCH("Lunch",$C152)),$D152="Western"),RAND(),"")</f>
        <v/>
      </c>
      <c r="M152" s="27">
        <f>IF(AND(ISNUMBER(SEARCH("Dinner",$C152)),$D152="Asian"),RAND(),"")</f>
        <v/>
      </c>
      <c r="N152" s="27">
        <f>IF(AND(ISNUMBER(SEARCH("Dinner",$C152)),$D152="Chinese"),RAND(),"")</f>
        <v/>
      </c>
      <c r="O152" s="27">
        <f>IF(AND(ISNUMBER(SEARCH("Dinner",$C152)),$D152="Western"),RAND(),"")</f>
        <v/>
      </c>
    </row>
    <row r="153" ht="15.75" customHeight="1" s="36">
      <c r="A153" s="22" t="inlineStr">
        <is>
          <t>Fried Kang Kong</t>
        </is>
      </c>
      <c r="B153" s="22" t="inlineStr">
        <is>
          <t>Kang Kong, 豆腐乳, Oil</t>
        </is>
      </c>
      <c r="C153" s="21" t="inlineStr">
        <is>
          <t>Dinner</t>
        </is>
      </c>
      <c r="D153" s="26" t="inlineStr">
        <is>
          <t>Chinese</t>
        </is>
      </c>
      <c r="E153" s="21" t="inlineStr">
        <is>
          <t>Med</t>
        </is>
      </c>
      <c r="F153" s="23" t="inlineStr">
        <is>
          <t>https://icook.tw/recipes/409774?utm_source=copy&amp;utm_medium=sharev3&amp;utm_campaign=recipe-share</t>
        </is>
      </c>
      <c r="G153" s="28">
        <f>IF(AND(ISNUMBER(SEARCH("Breakfast",$C153)),$D153="Asian"),RAND(),"")</f>
        <v/>
      </c>
      <c r="H153" s="28">
        <f>IF(AND(ISNUMBER(SEARCH("Breakfast",$C153)),$D153="Chinese"),RAND(),"")</f>
        <v/>
      </c>
      <c r="I153" s="28">
        <f>IF(AND(ISNUMBER(SEARCH("Breakfast",$C153)),$D153="Western"),RAND(),"")</f>
        <v/>
      </c>
      <c r="J153" s="28">
        <f>IF(AND(ISNUMBER(SEARCH("Lunch",$C153)),$D153="Asian"),RAND(),"")</f>
        <v/>
      </c>
      <c r="K153" s="28">
        <f>IF(AND(ISNUMBER(SEARCH("Lunch",$C153)),$D153="Chinese"),RAND(),"")</f>
        <v/>
      </c>
      <c r="L153" s="28">
        <f>IF(AND(ISNUMBER(SEARCH("Lunch",$C153)),$D153="Western"),RAND(),"")</f>
        <v/>
      </c>
      <c r="M153" s="28">
        <f>IF(AND(ISNUMBER(SEARCH("Dinner",$C153)),$D153="Asian"),RAND(),"")</f>
        <v/>
      </c>
      <c r="N153" s="28">
        <f>IF(AND(ISNUMBER(SEARCH("Dinner",$C153)),$D153="Chinese"),RAND(),"")</f>
        <v/>
      </c>
      <c r="O153" s="28">
        <f>IF(AND(ISNUMBER(SEARCH("Dinner",$C153)),$D153="Western"),RAND(),"")</f>
        <v/>
      </c>
    </row>
    <row r="154" ht="15.75" customHeight="1" s="36">
      <c r="A154" s="18" t="inlineStr">
        <is>
          <t>Fried Noodles</t>
        </is>
      </c>
      <c r="B154" s="18" t="inlineStr">
        <is>
          <t>Mian Xian, Sesame Oil, Ginger, Egg, Rice Wine</t>
        </is>
      </c>
      <c r="C154" s="17" t="inlineStr">
        <is>
          <t>Lunch</t>
        </is>
      </c>
      <c r="D154" s="33" t="inlineStr">
        <is>
          <t>Chinese</t>
        </is>
      </c>
      <c r="E154" s="17" t="inlineStr">
        <is>
          <t>Low</t>
        </is>
      </c>
      <c r="F154" s="19" t="inlineStr">
        <is>
          <t>https://icook.tw/recipes/396382?utm_source=copy&amp;utm_medium=sharev3&amp;utm_campaign=recipe-share</t>
        </is>
      </c>
      <c r="G154" s="27">
        <f>IF(AND(ISNUMBER(SEARCH("Breakfast",$C154)),$D154="Asian"),RAND(),"")</f>
        <v/>
      </c>
      <c r="H154" s="27">
        <f>IF(AND(ISNUMBER(SEARCH("Breakfast",$C154)),$D154="Chinese"),RAND(),"")</f>
        <v/>
      </c>
      <c r="I154" s="27">
        <f>IF(AND(ISNUMBER(SEARCH("Breakfast",$C154)),$D154="Western"),RAND(),"")</f>
        <v/>
      </c>
      <c r="J154" s="27">
        <f>IF(AND(ISNUMBER(SEARCH("Lunch",$C154)),$D154="Asian"),RAND(),"")</f>
        <v/>
      </c>
      <c r="K154" s="27">
        <f>IF(AND(ISNUMBER(SEARCH("Lunch",$C154)),$D154="Chinese"),RAND(),"")</f>
        <v/>
      </c>
      <c r="L154" s="27">
        <f>IF(AND(ISNUMBER(SEARCH("Lunch",$C154)),$D154="Western"),RAND(),"")</f>
        <v/>
      </c>
      <c r="M154" s="27">
        <f>IF(AND(ISNUMBER(SEARCH("Dinner",$C154)),$D154="Asian"),RAND(),"")</f>
        <v/>
      </c>
      <c r="N154" s="27">
        <f>IF(AND(ISNUMBER(SEARCH("Dinner",$C154)),$D154="Chinese"),RAND(),"")</f>
        <v/>
      </c>
      <c r="O154" s="27">
        <f>IF(AND(ISNUMBER(SEARCH("Dinner",$C154)),$D154="Western"),RAND(),"")</f>
        <v/>
      </c>
    </row>
    <row r="155" ht="15.75" customHeight="1" s="36">
      <c r="A155" s="22" t="inlineStr">
        <is>
          <t>Fried Rice</t>
        </is>
      </c>
      <c r="B155" s="22" t="inlineStr">
        <is>
          <t>—</t>
        </is>
      </c>
      <c r="C155" s="21" t="inlineStr">
        <is>
          <t>Lunch</t>
        </is>
      </c>
      <c r="D155" s="33" t="inlineStr">
        <is>
          <t>Chinese</t>
        </is>
      </c>
      <c r="E155" s="21" t="inlineStr">
        <is>
          <t>Low</t>
        </is>
      </c>
      <c r="F155" s="22" t="n"/>
      <c r="G155" s="28">
        <f>IF(AND(ISNUMBER(SEARCH("Breakfast",$C155)),$D155="Asian"),RAND(),"")</f>
        <v/>
      </c>
      <c r="H155" s="28">
        <f>IF(AND(ISNUMBER(SEARCH("Breakfast",$C155)),$D155="Chinese"),RAND(),"")</f>
        <v/>
      </c>
      <c r="I155" s="28">
        <f>IF(AND(ISNUMBER(SEARCH("Breakfast",$C155)),$D155="Western"),RAND(),"")</f>
        <v/>
      </c>
      <c r="J155" s="28">
        <f>IF(AND(ISNUMBER(SEARCH("Lunch",$C155)),$D155="Asian"),RAND(),"")</f>
        <v/>
      </c>
      <c r="K155" s="28">
        <f>IF(AND(ISNUMBER(SEARCH("Lunch",$C155)),$D155="Chinese"),RAND(),"")</f>
        <v/>
      </c>
      <c r="L155" s="28">
        <f>IF(AND(ISNUMBER(SEARCH("Lunch",$C155)),$D155="Western"),RAND(),"")</f>
        <v/>
      </c>
      <c r="M155" s="28">
        <f>IF(AND(ISNUMBER(SEARCH("Dinner",$C155)),$D155="Asian"),RAND(),"")</f>
        <v/>
      </c>
      <c r="N155" s="28">
        <f>IF(AND(ISNUMBER(SEARCH("Dinner",$C155)),$D155="Chinese"),RAND(),"")</f>
        <v/>
      </c>
      <c r="O155" s="28">
        <f>IF(AND(ISNUMBER(SEARCH("Dinner",$C155)),$D155="Western"),RAND(),"")</f>
        <v/>
      </c>
    </row>
    <row r="156" ht="15.75" customHeight="1" s="36">
      <c r="A156" s="18" t="inlineStr">
        <is>
          <t>Fried Spinach</t>
        </is>
      </c>
      <c r="B156" s="18" t="inlineStr">
        <is>
          <t>Spinach, Garlic, Goji Berries</t>
        </is>
      </c>
      <c r="C156" s="17" t="inlineStr">
        <is>
          <t>Dinner</t>
        </is>
      </c>
      <c r="D156" s="26" t="inlineStr">
        <is>
          <t>Chinese</t>
        </is>
      </c>
      <c r="E156" s="17" t="inlineStr">
        <is>
          <t>Med</t>
        </is>
      </c>
      <c r="F156" s="19" t="inlineStr">
        <is>
          <t>https://icook.tw/recipes/373670?utm_source=other&amp;utm_medium=sharev3&amp;utm_campaign=recipe-share</t>
        </is>
      </c>
      <c r="G156" s="27">
        <f>IF(AND(ISNUMBER(SEARCH("Breakfast",$C156)),$D156="Asian"),RAND(),"")</f>
        <v/>
      </c>
      <c r="H156" s="27">
        <f>IF(AND(ISNUMBER(SEARCH("Breakfast",$C156)),$D156="Chinese"),RAND(),"")</f>
        <v/>
      </c>
      <c r="I156" s="27">
        <f>IF(AND(ISNUMBER(SEARCH("Breakfast",$C156)),$D156="Western"),RAND(),"")</f>
        <v/>
      </c>
      <c r="J156" s="27">
        <f>IF(AND(ISNUMBER(SEARCH("Lunch",$C156)),$D156="Asian"),RAND(),"")</f>
        <v/>
      </c>
      <c r="K156" s="27">
        <f>IF(AND(ISNUMBER(SEARCH("Lunch",$C156)),$D156="Chinese"),RAND(),"")</f>
        <v/>
      </c>
      <c r="L156" s="27">
        <f>IF(AND(ISNUMBER(SEARCH("Lunch",$C156)),$D156="Western"),RAND(),"")</f>
        <v/>
      </c>
      <c r="M156" s="27">
        <f>IF(AND(ISNUMBER(SEARCH("Dinner",$C156)),$D156="Asian"),RAND(),"")</f>
        <v/>
      </c>
      <c r="N156" s="27">
        <f>IF(AND(ISNUMBER(SEARCH("Dinner",$C156)),$D156="Chinese"),RAND(),"")</f>
        <v/>
      </c>
      <c r="O156" s="27">
        <f>IF(AND(ISNUMBER(SEARCH("Dinner",$C156)),$D156="Western"),RAND(),"")</f>
        <v/>
      </c>
    </row>
    <row r="157" ht="15.75" customHeight="1" s="36">
      <c r="A157" s="22" t="inlineStr">
        <is>
          <t>Fried Tofu</t>
        </is>
      </c>
      <c r="B157" s="22" t="inlineStr">
        <is>
          <t>Tofu, Spring Onion, Bonito Flakes, Corn Flour</t>
        </is>
      </c>
      <c r="C157" s="21" t="inlineStr">
        <is>
          <t>Dinner</t>
        </is>
      </c>
      <c r="D157" s="26" t="inlineStr">
        <is>
          <t>Chinese</t>
        </is>
      </c>
      <c r="E157" s="21" t="inlineStr">
        <is>
          <t>Med</t>
        </is>
      </c>
      <c r="F157" s="23" t="inlineStr">
        <is>
          <t>https://www.instagram.com/reel/C8MMBR6yfE-/?igsh=MW9wbm5lNDd4NWZjdQ==</t>
        </is>
      </c>
      <c r="G157" s="28">
        <f>IF(AND(ISNUMBER(SEARCH("Breakfast",$C157)),$D157="Asian"),RAND(),"")</f>
        <v/>
      </c>
      <c r="H157" s="28">
        <f>IF(AND(ISNUMBER(SEARCH("Breakfast",$C157)),$D157="Chinese"),RAND(),"")</f>
        <v/>
      </c>
      <c r="I157" s="28">
        <f>IF(AND(ISNUMBER(SEARCH("Breakfast",$C157)),$D157="Western"),RAND(),"")</f>
        <v/>
      </c>
      <c r="J157" s="28">
        <f>IF(AND(ISNUMBER(SEARCH("Lunch",$C157)),$D157="Asian"),RAND(),"")</f>
        <v/>
      </c>
      <c r="K157" s="28">
        <f>IF(AND(ISNUMBER(SEARCH("Lunch",$C157)),$D157="Chinese"),RAND(),"")</f>
        <v/>
      </c>
      <c r="L157" s="28">
        <f>IF(AND(ISNUMBER(SEARCH("Lunch",$C157)),$D157="Western"),RAND(),"")</f>
        <v/>
      </c>
      <c r="M157" s="28">
        <f>IF(AND(ISNUMBER(SEARCH("Dinner",$C157)),$D157="Asian"),RAND(),"")</f>
        <v/>
      </c>
      <c r="N157" s="28">
        <f>IF(AND(ISNUMBER(SEARCH("Dinner",$C157)),$D157="Chinese"),RAND(),"")</f>
        <v/>
      </c>
      <c r="O157" s="28">
        <f>IF(AND(ISNUMBER(SEARCH("Dinner",$C157)),$D157="Western"),RAND(),"")</f>
        <v/>
      </c>
    </row>
    <row r="158" ht="15.75" customHeight="1" s="36">
      <c r="A158" s="18" t="inlineStr">
        <is>
          <t>Galbitang</t>
        </is>
      </c>
      <c r="B158" s="18" t="inlineStr">
        <is>
          <t>Beef Short Ribs, Onion, Spring Onion, Ginger, Garlic, Black Peppercorn, Radish, Soy Sauce, Salt Pepper</t>
        </is>
      </c>
      <c r="C158" s="17" t="inlineStr">
        <is>
          <t>Dinner</t>
        </is>
      </c>
      <c r="D158" s="29" t="inlineStr">
        <is>
          <t>Asian</t>
        </is>
      </c>
      <c r="E158" s="17" t="inlineStr">
        <is>
          <t>Med</t>
        </is>
      </c>
      <c r="F158" s="19" t="inlineStr">
        <is>
          <t>https://www.instagram.com/reel/DQb4hujkU-Y/?utm_source=ig_web_button_share_sheet</t>
        </is>
      </c>
      <c r="G158" s="27">
        <f>IF(AND(ISNUMBER(SEARCH("Breakfast",$C158)),$D158="Asian"),RAND(),"")</f>
        <v/>
      </c>
      <c r="H158" s="27">
        <f>IF(AND(ISNUMBER(SEARCH("Breakfast",$C158)),$D158="Chinese"),RAND(),"")</f>
        <v/>
      </c>
      <c r="I158" s="27">
        <f>IF(AND(ISNUMBER(SEARCH("Breakfast",$C158)),$D158="Western"),RAND(),"")</f>
        <v/>
      </c>
      <c r="J158" s="27">
        <f>IF(AND(ISNUMBER(SEARCH("Lunch",$C158)),$D158="Asian"),RAND(),"")</f>
        <v/>
      </c>
      <c r="K158" s="27">
        <f>IF(AND(ISNUMBER(SEARCH("Lunch",$C158)),$D158="Chinese"),RAND(),"")</f>
        <v/>
      </c>
      <c r="L158" s="27">
        <f>IF(AND(ISNUMBER(SEARCH("Lunch",$C158)),$D158="Western"),RAND(),"")</f>
        <v/>
      </c>
      <c r="M158" s="27">
        <f>IF(AND(ISNUMBER(SEARCH("Dinner",$C158)),$D158="Asian"),RAND(),"")</f>
        <v/>
      </c>
      <c r="N158" s="27">
        <f>IF(AND(ISNUMBER(SEARCH("Dinner",$C158)),$D158="Chinese"),RAND(),"")</f>
        <v/>
      </c>
      <c r="O158" s="27">
        <f>IF(AND(ISNUMBER(SEARCH("Dinner",$C158)),$D158="Western"),RAND(),"")</f>
        <v/>
      </c>
    </row>
    <row r="159" ht="15.75" customHeight="1" s="36">
      <c r="A159" s="22" t="inlineStr">
        <is>
          <t>Garlic Bread</t>
        </is>
      </c>
      <c r="B159" s="22" t="inlineStr">
        <is>
          <t>Garlic Cloves, Olive Oil, All purpose flour, Dry Yeast, Oregano</t>
        </is>
      </c>
      <c r="C159" s="21" t="inlineStr">
        <is>
          <t>Breakfast</t>
        </is>
      </c>
      <c r="D159" s="30" t="inlineStr">
        <is>
          <t>Western</t>
        </is>
      </c>
      <c r="E159" s="21" t="inlineStr">
        <is>
          <t>Med</t>
        </is>
      </c>
      <c r="F159" s="23" t="inlineStr">
        <is>
          <t>https://themodernnonna.com/no-knead-garlic-bread/</t>
        </is>
      </c>
      <c r="G159" s="28">
        <f>IF(AND(ISNUMBER(SEARCH("Breakfast",$C159)),$D159="Asian"),RAND(),"")</f>
        <v/>
      </c>
      <c r="H159" s="28">
        <f>IF(AND(ISNUMBER(SEARCH("Breakfast",$C159)),$D159="Chinese"),RAND(),"")</f>
        <v/>
      </c>
      <c r="I159" s="28">
        <f>IF(AND(ISNUMBER(SEARCH("Breakfast",$C159)),$D159="Western"),RAND(),"")</f>
        <v/>
      </c>
      <c r="J159" s="28">
        <f>IF(AND(ISNUMBER(SEARCH("Lunch",$C159)),$D159="Asian"),RAND(),"")</f>
        <v/>
      </c>
      <c r="K159" s="28">
        <f>IF(AND(ISNUMBER(SEARCH("Lunch",$C159)),$D159="Chinese"),RAND(),"")</f>
        <v/>
      </c>
      <c r="L159" s="28">
        <f>IF(AND(ISNUMBER(SEARCH("Lunch",$C159)),$D159="Western"),RAND(),"")</f>
        <v/>
      </c>
      <c r="M159" s="28">
        <f>IF(AND(ISNUMBER(SEARCH("Dinner",$C159)),$D159="Asian"),RAND(),"")</f>
        <v/>
      </c>
      <c r="N159" s="28">
        <f>IF(AND(ISNUMBER(SEARCH("Dinner",$C159)),$D159="Chinese"),RAND(),"")</f>
        <v/>
      </c>
      <c r="O159" s="28">
        <f>IF(AND(ISNUMBER(SEARCH("Dinner",$C159)),$D159="Western"),RAND(),"")</f>
        <v/>
      </c>
    </row>
    <row r="160" ht="15.75" customHeight="1" s="36">
      <c r="A160" s="18" t="inlineStr">
        <is>
          <t>Garlic Broccoli</t>
        </is>
      </c>
      <c r="B160" s="18" t="inlineStr">
        <is>
          <t>Broccoli, Garlic, Soy Sauce, Fish Sauce, Salt</t>
        </is>
      </c>
      <c r="C160" s="17" t="inlineStr">
        <is>
          <t>Dinner</t>
        </is>
      </c>
      <c r="D160" s="29" t="inlineStr">
        <is>
          <t>Asian</t>
        </is>
      </c>
      <c r="E160" s="17" t="inlineStr">
        <is>
          <t>Med</t>
        </is>
      </c>
      <c r="F160" s="19" t="inlineStr">
        <is>
          <t>https://www.instagram.com/p/CbWRCagvLgj/?utm_medium=copy_link</t>
        </is>
      </c>
      <c r="G160" s="27">
        <f>IF(AND(ISNUMBER(SEARCH("Breakfast",$C160)),$D160="Asian"),RAND(),"")</f>
        <v/>
      </c>
      <c r="H160" s="27">
        <f>IF(AND(ISNUMBER(SEARCH("Breakfast",$C160)),$D160="Chinese"),RAND(),"")</f>
        <v/>
      </c>
      <c r="I160" s="27">
        <f>IF(AND(ISNUMBER(SEARCH("Breakfast",$C160)),$D160="Western"),RAND(),"")</f>
        <v/>
      </c>
      <c r="J160" s="27">
        <f>IF(AND(ISNUMBER(SEARCH("Lunch",$C160)),$D160="Asian"),RAND(),"")</f>
        <v/>
      </c>
      <c r="K160" s="27">
        <f>IF(AND(ISNUMBER(SEARCH("Lunch",$C160)),$D160="Chinese"),RAND(),"")</f>
        <v/>
      </c>
      <c r="L160" s="27">
        <f>IF(AND(ISNUMBER(SEARCH("Lunch",$C160)),$D160="Western"),RAND(),"")</f>
        <v/>
      </c>
      <c r="M160" s="27">
        <f>IF(AND(ISNUMBER(SEARCH("Dinner",$C160)),$D160="Asian"),RAND(),"")</f>
        <v/>
      </c>
      <c r="N160" s="27">
        <f>IF(AND(ISNUMBER(SEARCH("Dinner",$C160)),$D160="Chinese"),RAND(),"")</f>
        <v/>
      </c>
      <c r="O160" s="27">
        <f>IF(AND(ISNUMBER(SEARCH("Dinner",$C160)),$D160="Western"),RAND(),"")</f>
        <v/>
      </c>
    </row>
    <row r="161" ht="15.75" customHeight="1" s="36">
      <c r="A161" s="22" t="inlineStr">
        <is>
          <t>Garlic Butter Mushroom Spinach</t>
        </is>
      </c>
      <c r="B161" s="22" t="inlineStr">
        <is>
          <t>Garlic, Butter, Parsley, Balsamic Vinegar, Parmasean Cheese, English Spinach, Brown button mushroom</t>
        </is>
      </c>
      <c r="C161" s="21" t="inlineStr">
        <is>
          <t>Dinner</t>
        </is>
      </c>
      <c r="D161" s="30" t="inlineStr">
        <is>
          <t>Western</t>
        </is>
      </c>
      <c r="E161" s="21" t="inlineStr">
        <is>
          <t>Med</t>
        </is>
      </c>
      <c r="F161" s="23" t="inlineStr">
        <is>
          <t>https://youtu.be/yQAJtTbKiZY</t>
        </is>
      </c>
      <c r="G161" s="28">
        <f>IF(AND(ISNUMBER(SEARCH("Breakfast",$C161)),$D161="Asian"),RAND(),"")</f>
        <v/>
      </c>
      <c r="H161" s="28">
        <f>IF(AND(ISNUMBER(SEARCH("Breakfast",$C161)),$D161="Chinese"),RAND(),"")</f>
        <v/>
      </c>
      <c r="I161" s="28">
        <f>IF(AND(ISNUMBER(SEARCH("Breakfast",$C161)),$D161="Western"),RAND(),"")</f>
        <v/>
      </c>
      <c r="J161" s="28">
        <f>IF(AND(ISNUMBER(SEARCH("Lunch",$C161)),$D161="Asian"),RAND(),"")</f>
        <v/>
      </c>
      <c r="K161" s="28">
        <f>IF(AND(ISNUMBER(SEARCH("Lunch",$C161)),$D161="Chinese"),RAND(),"")</f>
        <v/>
      </c>
      <c r="L161" s="28">
        <f>IF(AND(ISNUMBER(SEARCH("Lunch",$C161)),$D161="Western"),RAND(),"")</f>
        <v/>
      </c>
      <c r="M161" s="28">
        <f>IF(AND(ISNUMBER(SEARCH("Dinner",$C161)),$D161="Asian"),RAND(),"")</f>
        <v/>
      </c>
      <c r="N161" s="28">
        <f>IF(AND(ISNUMBER(SEARCH("Dinner",$C161)),$D161="Chinese"),RAND(),"")</f>
        <v/>
      </c>
      <c r="O161" s="28">
        <f>IF(AND(ISNUMBER(SEARCH("Dinner",$C161)),$D161="Western"),RAND(),"")</f>
        <v/>
      </c>
    </row>
    <row r="162" ht="15.75" customHeight="1" s="36">
      <c r="A162" s="18" t="inlineStr">
        <is>
          <t>Garlic Butter Mussels</t>
        </is>
      </c>
      <c r="B162" s="18" t="inlineStr">
        <is>
          <t>Unsalted Butter, Onion, Garlic, White Wine, Cooking Cream, Mussels, Lemon Juice, Parsley</t>
        </is>
      </c>
      <c r="C162" s="17" t="inlineStr">
        <is>
          <t>Dinner</t>
        </is>
      </c>
      <c r="D162" s="33" t="inlineStr">
        <is>
          <t>Western</t>
        </is>
      </c>
      <c r="E162" s="17" t="inlineStr">
        <is>
          <t>Low</t>
        </is>
      </c>
      <c r="F162" s="19" t="inlineStr">
        <is>
          <t>https://www.withablast.net/mussels-in-lemon-garlic-butter-sauce/</t>
        </is>
      </c>
      <c r="G162" s="27">
        <f>IF(AND(ISNUMBER(SEARCH("Breakfast",$C162)),$D162="Asian"),RAND(),"")</f>
        <v/>
      </c>
      <c r="H162" s="27">
        <f>IF(AND(ISNUMBER(SEARCH("Breakfast",$C162)),$D162="Chinese"),RAND(),"")</f>
        <v/>
      </c>
      <c r="I162" s="27">
        <f>IF(AND(ISNUMBER(SEARCH("Breakfast",$C162)),$D162="Western"),RAND(),"")</f>
        <v/>
      </c>
      <c r="J162" s="27">
        <f>IF(AND(ISNUMBER(SEARCH("Lunch",$C162)),$D162="Asian"),RAND(),"")</f>
        <v/>
      </c>
      <c r="K162" s="27">
        <f>IF(AND(ISNUMBER(SEARCH("Lunch",$C162)),$D162="Chinese"),RAND(),"")</f>
        <v/>
      </c>
      <c r="L162" s="27">
        <f>IF(AND(ISNUMBER(SEARCH("Lunch",$C162)),$D162="Western"),RAND(),"")</f>
        <v/>
      </c>
      <c r="M162" s="27">
        <f>IF(AND(ISNUMBER(SEARCH("Dinner",$C162)),$D162="Asian"),RAND(),"")</f>
        <v/>
      </c>
      <c r="N162" s="27">
        <f>IF(AND(ISNUMBER(SEARCH("Dinner",$C162)),$D162="Chinese"),RAND(),"")</f>
        <v/>
      </c>
      <c r="O162" s="27">
        <f>IF(AND(ISNUMBER(SEARCH("Dinner",$C162)),$D162="Western"),RAND(),"")</f>
        <v/>
      </c>
    </row>
    <row r="163" ht="15.75" customHeight="1" s="36">
      <c r="A163" s="22" t="inlineStr">
        <is>
          <t>Garlic Chive Eggs</t>
        </is>
      </c>
      <c r="B163" s="22" t="inlineStr">
        <is>
          <t>Dashi, Potato Starch, Eggs, Garlic Chives</t>
        </is>
      </c>
      <c r="C163" s="21" t="inlineStr">
        <is>
          <t>Dinner</t>
        </is>
      </c>
      <c r="D163" s="29" t="inlineStr">
        <is>
          <t>Asian</t>
        </is>
      </c>
      <c r="E163" s="21" t="inlineStr">
        <is>
          <t>Med</t>
        </is>
      </c>
      <c r="F163" s="23" t="inlineStr">
        <is>
          <t>https://youtu.be/olGts8ValpM</t>
        </is>
      </c>
      <c r="G163" s="28">
        <f>IF(AND(ISNUMBER(SEARCH("Breakfast",$C163)),$D163="Asian"),RAND(),"")</f>
        <v/>
      </c>
      <c r="H163" s="28">
        <f>IF(AND(ISNUMBER(SEARCH("Breakfast",$C163)),$D163="Chinese"),RAND(),"")</f>
        <v/>
      </c>
      <c r="I163" s="28">
        <f>IF(AND(ISNUMBER(SEARCH("Breakfast",$C163)),$D163="Western"),RAND(),"")</f>
        <v/>
      </c>
      <c r="J163" s="28">
        <f>IF(AND(ISNUMBER(SEARCH("Lunch",$C163)),$D163="Asian"),RAND(),"")</f>
        <v/>
      </c>
      <c r="K163" s="28">
        <f>IF(AND(ISNUMBER(SEARCH("Lunch",$C163)),$D163="Chinese"),RAND(),"")</f>
        <v/>
      </c>
      <c r="L163" s="28">
        <f>IF(AND(ISNUMBER(SEARCH("Lunch",$C163)),$D163="Western"),RAND(),"")</f>
        <v/>
      </c>
      <c r="M163" s="28">
        <f>IF(AND(ISNUMBER(SEARCH("Dinner",$C163)),$D163="Asian"),RAND(),"")</f>
        <v/>
      </c>
      <c r="N163" s="28">
        <f>IF(AND(ISNUMBER(SEARCH("Dinner",$C163)),$D163="Chinese"),RAND(),"")</f>
        <v/>
      </c>
      <c r="O163" s="28">
        <f>IF(AND(ISNUMBER(SEARCH("Dinner",$C163)),$D163="Western"),RAND(),"")</f>
        <v/>
      </c>
    </row>
    <row r="164" ht="15.75" customHeight="1" s="36">
      <c r="A164" s="18" t="inlineStr">
        <is>
          <t>Garlic Octopus</t>
        </is>
      </c>
      <c r="B164" s="18" t="inlineStr">
        <is>
          <t>Octopus, Mushroom, Egg, Garlic Cloves, Olive Oil, Parsley</t>
        </is>
      </c>
      <c r="C164" s="17" t="inlineStr">
        <is>
          <t>Lunch</t>
        </is>
      </c>
      <c r="D164" s="33" t="inlineStr">
        <is>
          <t>Western</t>
        </is>
      </c>
      <c r="E164" s="17" t="inlineStr">
        <is>
          <t>Low</t>
        </is>
      </c>
      <c r="F164" s="19" t="inlineStr">
        <is>
          <t>https://www.instagram.com/reel/DSIBFUXkmMX/?igsh=eThqejkzODRyYWp4</t>
        </is>
      </c>
      <c r="G164" s="27">
        <f>IF(AND(ISNUMBER(SEARCH("Breakfast",$C164)),$D164="Asian"),RAND(),"")</f>
        <v/>
      </c>
      <c r="H164" s="27">
        <f>IF(AND(ISNUMBER(SEARCH("Breakfast",$C164)),$D164="Chinese"),RAND(),"")</f>
        <v/>
      </c>
      <c r="I164" s="27">
        <f>IF(AND(ISNUMBER(SEARCH("Breakfast",$C164)),$D164="Western"),RAND(),"")</f>
        <v/>
      </c>
      <c r="J164" s="27">
        <f>IF(AND(ISNUMBER(SEARCH("Lunch",$C164)),$D164="Asian"),RAND(),"")</f>
        <v/>
      </c>
      <c r="K164" s="27">
        <f>IF(AND(ISNUMBER(SEARCH("Lunch",$C164)),$D164="Chinese"),RAND(),"")</f>
        <v/>
      </c>
      <c r="L164" s="27">
        <f>IF(AND(ISNUMBER(SEARCH("Lunch",$C164)),$D164="Western"),RAND(),"")</f>
        <v/>
      </c>
      <c r="M164" s="27">
        <f>IF(AND(ISNUMBER(SEARCH("Dinner",$C164)),$D164="Asian"),RAND(),"")</f>
        <v/>
      </c>
      <c r="N164" s="27">
        <f>IF(AND(ISNUMBER(SEARCH("Dinner",$C164)),$D164="Chinese"),RAND(),"")</f>
        <v/>
      </c>
      <c r="O164" s="27">
        <f>IF(AND(ISNUMBER(SEARCH("Dinner",$C164)),$D164="Western"),RAND(),"")</f>
        <v/>
      </c>
    </row>
    <row r="165" ht="15.75" customHeight="1" s="36">
      <c r="A165" s="22" t="inlineStr">
        <is>
          <t>Garlic Pork</t>
        </is>
      </c>
      <c r="B165" s="32" t="inlineStr">
        <is>
          <t>五花肉片, Big beansprout, Garlic, Ginger, Soy Sauce, Sugar</t>
        </is>
      </c>
      <c r="C165" s="21" t="inlineStr">
        <is>
          <t>Lunch</t>
        </is>
      </c>
      <c r="D165" s="26" t="inlineStr">
        <is>
          <t>Chinese</t>
        </is>
      </c>
      <c r="E165" s="21" t="inlineStr">
        <is>
          <t>Med</t>
        </is>
      </c>
      <c r="F165" s="23" t="inlineStr">
        <is>
          <t>https://icook.tw/recipes/394903?utm_source=copy&amp;utm_medium=sharev3&amp;utm_campaign=recipe-share</t>
        </is>
      </c>
      <c r="G165" s="28">
        <f>IF(AND(ISNUMBER(SEARCH("Breakfast",$C165)),$D165="Asian"),RAND(),"")</f>
        <v/>
      </c>
      <c r="H165" s="28">
        <f>IF(AND(ISNUMBER(SEARCH("Breakfast",$C165)),$D165="Chinese"),RAND(),"")</f>
        <v/>
      </c>
      <c r="I165" s="28">
        <f>IF(AND(ISNUMBER(SEARCH("Breakfast",$C165)),$D165="Western"),RAND(),"")</f>
        <v/>
      </c>
      <c r="J165" s="28">
        <f>IF(AND(ISNUMBER(SEARCH("Lunch",$C165)),$D165="Asian"),RAND(),"")</f>
        <v/>
      </c>
      <c r="K165" s="28">
        <f>IF(AND(ISNUMBER(SEARCH("Lunch",$C165)),$D165="Chinese"),RAND(),"")</f>
        <v/>
      </c>
      <c r="L165" s="28">
        <f>IF(AND(ISNUMBER(SEARCH("Lunch",$C165)),$D165="Western"),RAND(),"")</f>
        <v/>
      </c>
      <c r="M165" s="28">
        <f>IF(AND(ISNUMBER(SEARCH("Dinner",$C165)),$D165="Asian"),RAND(),"")</f>
        <v/>
      </c>
      <c r="N165" s="28">
        <f>IF(AND(ISNUMBER(SEARCH("Dinner",$C165)),$D165="Chinese"),RAND(),"")</f>
        <v/>
      </c>
      <c r="O165" s="28">
        <f>IF(AND(ISNUMBER(SEARCH("Dinner",$C165)),$D165="Western"),RAND(),"")</f>
        <v/>
      </c>
    </row>
    <row r="166" ht="15.75" customHeight="1" s="36">
      <c r="A166" s="18" t="inlineStr">
        <is>
          <t>Gazpacho</t>
        </is>
      </c>
      <c r="B166" s="18" t="inlineStr">
        <is>
          <t>Green bell peppers, Tomatoes, Cucumber, White bread, Vinegar, Basil, Parsley, Dill</t>
        </is>
      </c>
      <c r="C166" s="17" t="inlineStr">
        <is>
          <t>Dinner</t>
        </is>
      </c>
      <c r="D166" s="33" t="inlineStr">
        <is>
          <t>Western</t>
        </is>
      </c>
      <c r="E166" s="17" t="inlineStr">
        <is>
          <t>Low</t>
        </is>
      </c>
      <c r="F166" s="19" t="inlineStr">
        <is>
          <t>https://www.kitchenstories.com/en/recipes/classic-gazpacho</t>
        </is>
      </c>
      <c r="G166" s="27">
        <f>IF(AND(ISNUMBER(SEARCH("Breakfast",$C166)),$D166="Asian"),RAND(),"")</f>
        <v/>
      </c>
      <c r="H166" s="27">
        <f>IF(AND(ISNUMBER(SEARCH("Breakfast",$C166)),$D166="Chinese"),RAND(),"")</f>
        <v/>
      </c>
      <c r="I166" s="27">
        <f>IF(AND(ISNUMBER(SEARCH("Breakfast",$C166)),$D166="Western"),RAND(),"")</f>
        <v/>
      </c>
      <c r="J166" s="27">
        <f>IF(AND(ISNUMBER(SEARCH("Lunch",$C166)),$D166="Asian"),RAND(),"")</f>
        <v/>
      </c>
      <c r="K166" s="27">
        <f>IF(AND(ISNUMBER(SEARCH("Lunch",$C166)),$D166="Chinese"),RAND(),"")</f>
        <v/>
      </c>
      <c r="L166" s="27">
        <f>IF(AND(ISNUMBER(SEARCH("Lunch",$C166)),$D166="Western"),RAND(),"")</f>
        <v/>
      </c>
      <c r="M166" s="27">
        <f>IF(AND(ISNUMBER(SEARCH("Dinner",$C166)),$D166="Asian"),RAND(),"")</f>
        <v/>
      </c>
      <c r="N166" s="27">
        <f>IF(AND(ISNUMBER(SEARCH("Dinner",$C166)),$D166="Chinese"),RAND(),"")</f>
        <v/>
      </c>
      <c r="O166" s="27">
        <f>IF(AND(ISNUMBER(SEARCH("Dinner",$C166)),$D166="Western"),RAND(),"")</f>
        <v/>
      </c>
    </row>
    <row r="167" ht="15.75" customHeight="1" s="36">
      <c r="A167" s="22" t="inlineStr">
        <is>
          <t>Ginseng Pork Soup</t>
        </is>
      </c>
      <c r="B167" s="22" t="inlineStr">
        <is>
          <t>Ginseng pack, pork ribs</t>
        </is>
      </c>
      <c r="C167" s="21" t="inlineStr">
        <is>
          <t>Dinner</t>
        </is>
      </c>
      <c r="D167" s="26" t="inlineStr">
        <is>
          <t>Chinese</t>
        </is>
      </c>
      <c r="E167" s="21" t="inlineStr">
        <is>
          <t>Med</t>
        </is>
      </c>
      <c r="F167" s="22" t="n"/>
      <c r="G167" s="28">
        <f>IF(AND(ISNUMBER(SEARCH("Breakfast",$C167)),$D167="Asian"),RAND(),"")</f>
        <v/>
      </c>
      <c r="H167" s="28">
        <f>IF(AND(ISNUMBER(SEARCH("Breakfast",$C167)),$D167="Chinese"),RAND(),"")</f>
        <v/>
      </c>
      <c r="I167" s="28">
        <f>IF(AND(ISNUMBER(SEARCH("Breakfast",$C167)),$D167="Western"),RAND(),"")</f>
        <v/>
      </c>
      <c r="J167" s="28">
        <f>IF(AND(ISNUMBER(SEARCH("Lunch",$C167)),$D167="Asian"),RAND(),"")</f>
        <v/>
      </c>
      <c r="K167" s="28">
        <f>IF(AND(ISNUMBER(SEARCH("Lunch",$C167)),$D167="Chinese"),RAND(),"")</f>
        <v/>
      </c>
      <c r="L167" s="28">
        <f>IF(AND(ISNUMBER(SEARCH("Lunch",$C167)),$D167="Western"),RAND(),"")</f>
        <v/>
      </c>
      <c r="M167" s="28">
        <f>IF(AND(ISNUMBER(SEARCH("Dinner",$C167)),$D167="Asian"),RAND(),"")</f>
        <v/>
      </c>
      <c r="N167" s="28">
        <f>IF(AND(ISNUMBER(SEARCH("Dinner",$C167)),$D167="Chinese"),RAND(),"")</f>
        <v/>
      </c>
      <c r="O167" s="28">
        <f>IF(AND(ISNUMBER(SEARCH("Dinner",$C167)),$D167="Western"),RAND(),"")</f>
        <v/>
      </c>
      <c r="P167" s="0" t="b">
        <v>1</v>
      </c>
    </row>
    <row r="168" ht="15.75" customHeight="1" s="36">
      <c r="A168" s="18" t="inlineStr">
        <is>
          <t>Gochujang Tuna Salad</t>
        </is>
      </c>
      <c r="B168" s="18" t="inlineStr">
        <is>
          <t>Tuna, Spring Onion, Gochujang, Yoghurt, Sesame oil, Cucumber, Carrot, Seaweed, Sesame seed</t>
        </is>
      </c>
      <c r="C168" s="17" t="inlineStr">
        <is>
          <t>Dinner</t>
        </is>
      </c>
      <c r="D168" s="30" t="inlineStr">
        <is>
          <t>Western</t>
        </is>
      </c>
      <c r="E168" s="17" t="inlineStr">
        <is>
          <t>Low</t>
        </is>
      </c>
      <c r="F168" s="19" t="inlineStr">
        <is>
          <t>https://www.instagram.com/reel/DPOdgVzgflb/?igsh=MXVsNHk3eXAyN3d6Nw==</t>
        </is>
      </c>
      <c r="G168" s="27">
        <f>IF(AND(ISNUMBER(SEARCH("Breakfast",$C168)),$D168="Asian"),RAND(),"")</f>
        <v/>
      </c>
      <c r="H168" s="27">
        <f>IF(AND(ISNUMBER(SEARCH("Breakfast",$C168)),$D168="Chinese"),RAND(),"")</f>
        <v/>
      </c>
      <c r="I168" s="27">
        <f>IF(AND(ISNUMBER(SEARCH("Breakfast",$C168)),$D168="Western"),RAND(),"")</f>
        <v/>
      </c>
      <c r="J168" s="27">
        <f>IF(AND(ISNUMBER(SEARCH("Lunch",$C168)),$D168="Asian"),RAND(),"")</f>
        <v/>
      </c>
      <c r="K168" s="27">
        <f>IF(AND(ISNUMBER(SEARCH("Lunch",$C168)),$D168="Chinese"),RAND(),"")</f>
        <v/>
      </c>
      <c r="L168" s="27">
        <f>IF(AND(ISNUMBER(SEARCH("Lunch",$C168)),$D168="Western"),RAND(),"")</f>
        <v/>
      </c>
      <c r="M168" s="27">
        <f>IF(AND(ISNUMBER(SEARCH("Dinner",$C168)),$D168="Asian"),RAND(),"")</f>
        <v/>
      </c>
      <c r="N168" s="27">
        <f>IF(AND(ISNUMBER(SEARCH("Dinner",$C168)),$D168="Chinese"),RAND(),"")</f>
        <v/>
      </c>
      <c r="O168" s="27">
        <f>IF(AND(ISNUMBER(SEARCH("Dinner",$C168)),$D168="Western"),RAND(),"")</f>
        <v/>
      </c>
    </row>
    <row r="169" ht="15.75" customHeight="1" s="36">
      <c r="A169" s="22" t="inlineStr">
        <is>
          <t>Goya Champuru</t>
        </is>
      </c>
      <c r="B169" s="22" t="inlineStr">
        <is>
          <t>Bittergourd, Firm Tofu, Eggs, Dashi</t>
        </is>
      </c>
      <c r="C169" s="21" t="inlineStr">
        <is>
          <t>Dinner</t>
        </is>
      </c>
      <c r="D169" s="29" t="inlineStr">
        <is>
          <t>Asian</t>
        </is>
      </c>
      <c r="E169" s="21" t="inlineStr">
        <is>
          <t>Low</t>
        </is>
      </c>
      <c r="F169" s="23" t="inlineStr">
        <is>
          <t>https://youtu.be/PLULg4M8iqI</t>
        </is>
      </c>
      <c r="G169" s="28">
        <f>IF(AND(ISNUMBER(SEARCH("Breakfast",$C169)),$D169="Asian"),RAND(),"")</f>
        <v/>
      </c>
      <c r="H169" s="28">
        <f>IF(AND(ISNUMBER(SEARCH("Breakfast",$C169)),$D169="Chinese"),RAND(),"")</f>
        <v/>
      </c>
      <c r="I169" s="28">
        <f>IF(AND(ISNUMBER(SEARCH("Breakfast",$C169)),$D169="Western"),RAND(),"")</f>
        <v/>
      </c>
      <c r="J169" s="28">
        <f>IF(AND(ISNUMBER(SEARCH("Lunch",$C169)),$D169="Asian"),RAND(),"")</f>
        <v/>
      </c>
      <c r="K169" s="28">
        <f>IF(AND(ISNUMBER(SEARCH("Lunch",$C169)),$D169="Chinese"),RAND(),"")</f>
        <v/>
      </c>
      <c r="L169" s="28">
        <f>IF(AND(ISNUMBER(SEARCH("Lunch",$C169)),$D169="Western"),RAND(),"")</f>
        <v/>
      </c>
      <c r="M169" s="28">
        <f>IF(AND(ISNUMBER(SEARCH("Dinner",$C169)),$D169="Asian"),RAND(),"")</f>
        <v/>
      </c>
      <c r="N169" s="28">
        <f>IF(AND(ISNUMBER(SEARCH("Dinner",$C169)),$D169="Chinese"),RAND(),"")</f>
        <v/>
      </c>
      <c r="O169" s="28">
        <f>IF(AND(ISNUMBER(SEARCH("Dinner",$C169)),$D169="Western"),RAND(),"")</f>
        <v/>
      </c>
    </row>
    <row r="170" ht="15.75" customHeight="1" s="36">
      <c r="A170" s="18" t="inlineStr">
        <is>
          <t>Green bean</t>
        </is>
      </c>
      <c r="B170" s="18" t="inlineStr">
        <is>
          <t>Lemon, Sugar</t>
        </is>
      </c>
      <c r="C170" s="17" t="inlineStr">
        <is>
          <t>Breakfast</t>
        </is>
      </c>
      <c r="D170" s="33" t="inlineStr">
        <is>
          <t>Chinese</t>
        </is>
      </c>
      <c r="E170" s="17" t="inlineStr">
        <is>
          <t>Low</t>
        </is>
      </c>
      <c r="F170" s="18" t="n"/>
      <c r="G170" s="27">
        <f>IF(AND(ISNUMBER(SEARCH("Breakfast",$C170)),$D170="Asian"),RAND(),"")</f>
        <v/>
      </c>
      <c r="H170" s="27">
        <f>IF(AND(ISNUMBER(SEARCH("Breakfast",$C170)),$D170="Chinese"),RAND(),"")</f>
        <v/>
      </c>
      <c r="I170" s="27">
        <f>IF(AND(ISNUMBER(SEARCH("Breakfast",$C170)),$D170="Western"),RAND(),"")</f>
        <v/>
      </c>
      <c r="J170" s="27">
        <f>IF(AND(ISNUMBER(SEARCH("Lunch",$C170)),$D170="Asian"),RAND(),"")</f>
        <v/>
      </c>
      <c r="K170" s="27">
        <f>IF(AND(ISNUMBER(SEARCH("Lunch",$C170)),$D170="Chinese"),RAND(),"")</f>
        <v/>
      </c>
      <c r="L170" s="27">
        <f>IF(AND(ISNUMBER(SEARCH("Lunch",$C170)),$D170="Western"),RAND(),"")</f>
        <v/>
      </c>
      <c r="M170" s="27">
        <f>IF(AND(ISNUMBER(SEARCH("Dinner",$C170)),$D170="Asian"),RAND(),"")</f>
        <v/>
      </c>
      <c r="N170" s="27">
        <f>IF(AND(ISNUMBER(SEARCH("Dinner",$C170)),$D170="Chinese"),RAND(),"")</f>
        <v/>
      </c>
      <c r="O170" s="27">
        <f>IF(AND(ISNUMBER(SEARCH("Dinner",$C170)),$D170="Western"),RAND(),"")</f>
        <v/>
      </c>
    </row>
    <row r="171" ht="15.75" customHeight="1" s="36">
      <c r="A171" s="22" t="inlineStr">
        <is>
          <t>Green Bean Soup</t>
        </is>
      </c>
      <c r="B171" s="22" t="inlineStr">
        <is>
          <t>Green Bean, 蓮子, 冰糖, 百合, 陳皮絲, Lemon, Sugar</t>
        </is>
      </c>
      <c r="C171" s="21" t="inlineStr">
        <is>
          <t>Breakfast, Lunch</t>
        </is>
      </c>
      <c r="D171" s="33" t="inlineStr">
        <is>
          <t>Chinese</t>
        </is>
      </c>
      <c r="E171" s="21" t="inlineStr">
        <is>
          <t>Low</t>
        </is>
      </c>
      <c r="F171" s="23" t="inlineStr">
        <is>
          <t>https://www.instagram.com/reel/DL6Gw8lTYJc/?igsh=MXJwYWNuMWxvdTVyeA==</t>
        </is>
      </c>
      <c r="G171" s="28">
        <f>IF(AND(ISNUMBER(SEARCH("Breakfast",$C171)),$D171="Asian"),RAND(),"")</f>
        <v/>
      </c>
      <c r="H171" s="28">
        <f>IF(AND(ISNUMBER(SEARCH("Breakfast",$C171)),$D171="Chinese"),RAND(),"")</f>
        <v/>
      </c>
      <c r="I171" s="28">
        <f>IF(AND(ISNUMBER(SEARCH("Breakfast",$C171)),$D171="Western"),RAND(),"")</f>
        <v/>
      </c>
      <c r="J171" s="28">
        <f>IF(AND(ISNUMBER(SEARCH("Lunch",$C171)),$D171="Asian"),RAND(),"")</f>
        <v/>
      </c>
      <c r="K171" s="28">
        <f>IF(AND(ISNUMBER(SEARCH("Lunch",$C171)),$D171="Chinese"),RAND(),"")</f>
        <v/>
      </c>
      <c r="L171" s="28">
        <f>IF(AND(ISNUMBER(SEARCH("Lunch",$C171)),$D171="Western"),RAND(),"")</f>
        <v/>
      </c>
      <c r="M171" s="28">
        <f>IF(AND(ISNUMBER(SEARCH("Dinner",$C171)),$D171="Asian"),RAND(),"")</f>
        <v/>
      </c>
      <c r="N171" s="28">
        <f>IF(AND(ISNUMBER(SEARCH("Dinner",$C171)),$D171="Chinese"),RAND(),"")</f>
        <v/>
      </c>
      <c r="O171" s="28">
        <f>IF(AND(ISNUMBER(SEARCH("Dinner",$C171)),$D171="Western"),RAND(),"")</f>
        <v/>
      </c>
      <c r="P171" s="0" t="b">
        <v>1</v>
      </c>
    </row>
    <row r="172" ht="15.75" customHeight="1" s="36">
      <c r="A172" s="18" t="inlineStr">
        <is>
          <t>Green Bean Sweet Potato Soup</t>
        </is>
      </c>
      <c r="B172" s="18" t="inlineStr">
        <is>
          <t>Green Bean, Sweet Potato, Sugar</t>
        </is>
      </c>
      <c r="C172" s="17" t="inlineStr">
        <is>
          <t>Breakfast</t>
        </is>
      </c>
      <c r="D172" s="33" t="inlineStr">
        <is>
          <t>Chinese</t>
        </is>
      </c>
      <c r="E172" s="17" t="inlineStr">
        <is>
          <t>Low</t>
        </is>
      </c>
      <c r="F172" s="19" t="inlineStr">
        <is>
          <t>https://icook.tw/recipes/476401?utm_source=copy&amp;utm_medium=sharev3&amp;utm_campaign=recipe-share</t>
        </is>
      </c>
      <c r="G172" s="27">
        <f>IF(AND(ISNUMBER(SEARCH("Breakfast",$C172)),$D172="Asian"),RAND(),"")</f>
        <v/>
      </c>
      <c r="H172" s="27">
        <f>IF(AND(ISNUMBER(SEARCH("Breakfast",$C172)),$D172="Chinese"),RAND(),"")</f>
        <v/>
      </c>
      <c r="I172" s="27">
        <f>IF(AND(ISNUMBER(SEARCH("Breakfast",$C172)),$D172="Western"),RAND(),"")</f>
        <v/>
      </c>
      <c r="J172" s="27">
        <f>IF(AND(ISNUMBER(SEARCH("Lunch",$C172)),$D172="Asian"),RAND(),"")</f>
        <v/>
      </c>
      <c r="K172" s="27">
        <f>IF(AND(ISNUMBER(SEARCH("Lunch",$C172)),$D172="Chinese"),RAND(),"")</f>
        <v/>
      </c>
      <c r="L172" s="27">
        <f>IF(AND(ISNUMBER(SEARCH("Lunch",$C172)),$D172="Western"),RAND(),"")</f>
        <v/>
      </c>
      <c r="M172" s="27">
        <f>IF(AND(ISNUMBER(SEARCH("Dinner",$C172)),$D172="Asian"),RAND(),"")</f>
        <v/>
      </c>
      <c r="N172" s="27">
        <f>IF(AND(ISNUMBER(SEARCH("Dinner",$C172)),$D172="Chinese"),RAND(),"")</f>
        <v/>
      </c>
      <c r="O172" s="27">
        <f>IF(AND(ISNUMBER(SEARCH("Dinner",$C172)),$D172="Western"),RAND(),"")</f>
        <v/>
      </c>
      <c r="P172" s="0" t="b">
        <v>1</v>
      </c>
    </row>
    <row r="173" ht="15.75" customHeight="1" s="36">
      <c r="A173" s="22" t="inlineStr">
        <is>
          <t>Green Pea Soup</t>
        </is>
      </c>
      <c r="B173" s="22" t="inlineStr">
        <is>
          <t>Green Pea, Minced Pork, Ginger</t>
        </is>
      </c>
      <c r="C173" s="21" t="inlineStr">
        <is>
          <t>Dinner</t>
        </is>
      </c>
      <c r="D173" s="33" t="inlineStr">
        <is>
          <t>Western</t>
        </is>
      </c>
      <c r="E173" s="21" t="inlineStr">
        <is>
          <t>Low</t>
        </is>
      </c>
      <c r="F173" s="23" t="inlineStr">
        <is>
          <t>http://xhslink.com/xl0hDF</t>
        </is>
      </c>
      <c r="G173" s="28">
        <f>IF(AND(ISNUMBER(SEARCH("Breakfast",$C173)),$D173="Asian"),RAND(),"")</f>
        <v/>
      </c>
      <c r="H173" s="28">
        <f>IF(AND(ISNUMBER(SEARCH("Breakfast",$C173)),$D173="Chinese"),RAND(),"")</f>
        <v/>
      </c>
      <c r="I173" s="28">
        <f>IF(AND(ISNUMBER(SEARCH("Breakfast",$C173)),$D173="Western"),RAND(),"")</f>
        <v/>
      </c>
      <c r="J173" s="28">
        <f>IF(AND(ISNUMBER(SEARCH("Lunch",$C173)),$D173="Asian"),RAND(),"")</f>
        <v/>
      </c>
      <c r="K173" s="28">
        <f>IF(AND(ISNUMBER(SEARCH("Lunch",$C173)),$D173="Chinese"),RAND(),"")</f>
        <v/>
      </c>
      <c r="L173" s="28">
        <f>IF(AND(ISNUMBER(SEARCH("Lunch",$C173)),$D173="Western"),RAND(),"")</f>
        <v/>
      </c>
      <c r="M173" s="28">
        <f>IF(AND(ISNUMBER(SEARCH("Dinner",$C173)),$D173="Asian"),RAND(),"")</f>
        <v/>
      </c>
      <c r="N173" s="28">
        <f>IF(AND(ISNUMBER(SEARCH("Dinner",$C173)),$D173="Chinese"),RAND(),"")</f>
        <v/>
      </c>
      <c r="O173" s="28">
        <f>IF(AND(ISNUMBER(SEARCH("Dinner",$C173)),$D173="Western"),RAND(),"")</f>
        <v/>
      </c>
      <c r="P173" s="0" t="b">
        <v>1</v>
      </c>
    </row>
    <row r="174" ht="15.75" customHeight="1" s="36">
      <c r="A174" s="18" t="inlineStr">
        <is>
          <t>Green Risotto with Pesto</t>
        </is>
      </c>
      <c r="B174" s="18" t="inlineStr">
        <is>
          <t>Cashews, Garlic, Lime, Cheese, Onion, Rice, White Wine, Vegetable Broth, Butter, Pine Nuts, Basil</t>
        </is>
      </c>
      <c r="C174" s="17" t="inlineStr">
        <is>
          <t>Lunch</t>
        </is>
      </c>
      <c r="D174" s="30" t="inlineStr">
        <is>
          <t>Western</t>
        </is>
      </c>
      <c r="E174" s="17" t="inlineStr">
        <is>
          <t>High</t>
        </is>
      </c>
      <c r="F174" s="19" t="inlineStr">
        <is>
          <t>https://www.kitchenstories.com/en/recipes/green-risotto-with-dandelion-pesto</t>
        </is>
      </c>
      <c r="G174" s="27">
        <f>IF(AND(ISNUMBER(SEARCH("Breakfast",$C174)),$D174="Asian"),RAND(),"")</f>
        <v/>
      </c>
      <c r="H174" s="27">
        <f>IF(AND(ISNUMBER(SEARCH("Breakfast",$C174)),$D174="Chinese"),RAND(),"")</f>
        <v/>
      </c>
      <c r="I174" s="27">
        <f>IF(AND(ISNUMBER(SEARCH("Breakfast",$C174)),$D174="Western"),RAND(),"")</f>
        <v/>
      </c>
      <c r="J174" s="27">
        <f>IF(AND(ISNUMBER(SEARCH("Lunch",$C174)),$D174="Asian"),RAND(),"")</f>
        <v/>
      </c>
      <c r="K174" s="27">
        <f>IF(AND(ISNUMBER(SEARCH("Lunch",$C174)),$D174="Chinese"),RAND(),"")</f>
        <v/>
      </c>
      <c r="L174" s="27">
        <f>IF(AND(ISNUMBER(SEARCH("Lunch",$C174)),$D174="Western"),RAND(),"")</f>
        <v/>
      </c>
      <c r="M174" s="27">
        <f>IF(AND(ISNUMBER(SEARCH("Dinner",$C174)),$D174="Asian"),RAND(),"")</f>
        <v/>
      </c>
      <c r="N174" s="27">
        <f>IF(AND(ISNUMBER(SEARCH("Dinner",$C174)),$D174="Chinese"),RAND(),"")</f>
        <v/>
      </c>
      <c r="O174" s="27">
        <f>IF(AND(ISNUMBER(SEARCH("Dinner",$C174)),$D174="Western"),RAND(),"")</f>
        <v/>
      </c>
    </row>
    <row r="175" ht="15.75" customHeight="1" s="36">
      <c r="A175" s="22" t="inlineStr">
        <is>
          <t>Green Salad</t>
        </is>
      </c>
      <c r="B175" s="22" t="inlineStr">
        <is>
          <t>Edamame, Cucumbers, Cilantro, Spring Onion, Honey, Ginger, Soy Sauce</t>
        </is>
      </c>
      <c r="C175" s="21" t="inlineStr">
        <is>
          <t>Dinner</t>
        </is>
      </c>
      <c r="D175" s="30" t="inlineStr">
        <is>
          <t>Western</t>
        </is>
      </c>
      <c r="E175" s="21" t="inlineStr">
        <is>
          <t>Low</t>
        </is>
      </c>
      <c r="F175" s="23" t="inlineStr">
        <is>
          <t>https://munchingwithmariyah.com/cucumber-edamame-salad/</t>
        </is>
      </c>
      <c r="G175" s="28">
        <f>IF(AND(ISNUMBER(SEARCH("Breakfast",$C175)),$D175="Asian"),RAND(),"")</f>
        <v/>
      </c>
      <c r="H175" s="28">
        <f>IF(AND(ISNUMBER(SEARCH("Breakfast",$C175)),$D175="Chinese"),RAND(),"")</f>
        <v/>
      </c>
      <c r="I175" s="28">
        <f>IF(AND(ISNUMBER(SEARCH("Breakfast",$C175)),$D175="Western"),RAND(),"")</f>
        <v/>
      </c>
      <c r="J175" s="28">
        <f>IF(AND(ISNUMBER(SEARCH("Lunch",$C175)),$D175="Asian"),RAND(),"")</f>
        <v/>
      </c>
      <c r="K175" s="28">
        <f>IF(AND(ISNUMBER(SEARCH("Lunch",$C175)),$D175="Chinese"),RAND(),"")</f>
        <v/>
      </c>
      <c r="L175" s="28">
        <f>IF(AND(ISNUMBER(SEARCH("Lunch",$C175)),$D175="Western"),RAND(),"")</f>
        <v/>
      </c>
      <c r="M175" s="28">
        <f>IF(AND(ISNUMBER(SEARCH("Dinner",$C175)),$D175="Asian"),RAND(),"")</f>
        <v/>
      </c>
      <c r="N175" s="28">
        <f>IF(AND(ISNUMBER(SEARCH("Dinner",$C175)),$D175="Chinese"),RAND(),"")</f>
        <v/>
      </c>
      <c r="O175" s="28">
        <f>IF(AND(ISNUMBER(SEARCH("Dinner",$C175)),$D175="Western"),RAND(),"")</f>
        <v/>
      </c>
    </row>
    <row r="176" ht="15.75" customHeight="1" s="36">
      <c r="A176" s="18" t="inlineStr">
        <is>
          <t>Green Sauce Clams</t>
        </is>
      </c>
      <c r="B176" s="18" t="inlineStr">
        <is>
          <t>Clams/mussel, White Wine, Cilantro, Olive Oil, Garlic, Butter</t>
        </is>
      </c>
      <c r="C176" s="17" t="inlineStr">
        <is>
          <t>Dinner</t>
        </is>
      </c>
      <c r="D176" s="33" t="inlineStr">
        <is>
          <t>Western</t>
        </is>
      </c>
      <c r="E176" s="17" t="inlineStr">
        <is>
          <t>Low</t>
        </is>
      </c>
      <c r="F176" s="19" t="inlineStr">
        <is>
          <t>https://www.instagram.com/p/CMJ3jlhjqcw/?utm_medium=copy_link</t>
        </is>
      </c>
      <c r="G176" s="27">
        <f>IF(AND(ISNUMBER(SEARCH("Breakfast",$C176)),$D176="Asian"),RAND(),"")</f>
        <v/>
      </c>
      <c r="H176" s="27">
        <f>IF(AND(ISNUMBER(SEARCH("Breakfast",$C176)),$D176="Chinese"),RAND(),"")</f>
        <v/>
      </c>
      <c r="I176" s="27">
        <f>IF(AND(ISNUMBER(SEARCH("Breakfast",$C176)),$D176="Western"),RAND(),"")</f>
        <v/>
      </c>
      <c r="J176" s="27">
        <f>IF(AND(ISNUMBER(SEARCH("Lunch",$C176)),$D176="Asian"),RAND(),"")</f>
        <v/>
      </c>
      <c r="K176" s="27">
        <f>IF(AND(ISNUMBER(SEARCH("Lunch",$C176)),$D176="Chinese"),RAND(),"")</f>
        <v/>
      </c>
      <c r="L176" s="27">
        <f>IF(AND(ISNUMBER(SEARCH("Lunch",$C176)),$D176="Western"),RAND(),"")</f>
        <v/>
      </c>
      <c r="M176" s="27">
        <f>IF(AND(ISNUMBER(SEARCH("Dinner",$C176)),$D176="Asian"),RAND(),"")</f>
        <v/>
      </c>
      <c r="N176" s="27">
        <f>IF(AND(ISNUMBER(SEARCH("Dinner",$C176)),$D176="Chinese"),RAND(),"")</f>
        <v/>
      </c>
      <c r="O176" s="27">
        <f>IF(AND(ISNUMBER(SEARCH("Dinner",$C176)),$D176="Western"),RAND(),"")</f>
        <v/>
      </c>
    </row>
    <row r="177" ht="15.75" customHeight="1" s="36">
      <c r="A177" s="22" t="inlineStr">
        <is>
          <t>Green Shukshuka</t>
        </is>
      </c>
      <c r="B177" s="22" t="inlineStr">
        <is>
          <t>Green bell peppers, Mint, Parsley, Leek, Cumin, Spinach, Frozen peas, Lemon, Feta cheese, Eggs, Nutmeg</t>
        </is>
      </c>
      <c r="C177" s="21" t="inlineStr">
        <is>
          <t>Dinner</t>
        </is>
      </c>
      <c r="D177" s="30" t="inlineStr">
        <is>
          <t>Western</t>
        </is>
      </c>
      <c r="E177" s="21" t="inlineStr">
        <is>
          <t>Med</t>
        </is>
      </c>
      <c r="F177" s="23" t="inlineStr">
        <is>
          <t>https://www.kitchenstories.com/en/recipes/green-shakshuka</t>
        </is>
      </c>
      <c r="G177" s="28">
        <f>IF(AND(ISNUMBER(SEARCH("Breakfast",$C177)),$D177="Asian"),RAND(),"")</f>
        <v/>
      </c>
      <c r="H177" s="28">
        <f>IF(AND(ISNUMBER(SEARCH("Breakfast",$C177)),$D177="Chinese"),RAND(),"")</f>
        <v/>
      </c>
      <c r="I177" s="28">
        <f>IF(AND(ISNUMBER(SEARCH("Breakfast",$C177)),$D177="Western"),RAND(),"")</f>
        <v/>
      </c>
      <c r="J177" s="28">
        <f>IF(AND(ISNUMBER(SEARCH("Lunch",$C177)),$D177="Asian"),RAND(),"")</f>
        <v/>
      </c>
      <c r="K177" s="28">
        <f>IF(AND(ISNUMBER(SEARCH("Lunch",$C177)),$D177="Chinese"),RAND(),"")</f>
        <v/>
      </c>
      <c r="L177" s="28">
        <f>IF(AND(ISNUMBER(SEARCH("Lunch",$C177)),$D177="Western"),RAND(),"")</f>
        <v/>
      </c>
      <c r="M177" s="28">
        <f>IF(AND(ISNUMBER(SEARCH("Dinner",$C177)),$D177="Asian"),RAND(),"")</f>
        <v/>
      </c>
      <c r="N177" s="28">
        <f>IF(AND(ISNUMBER(SEARCH("Dinner",$C177)),$D177="Chinese"),RAND(),"")</f>
        <v/>
      </c>
      <c r="O177" s="28">
        <f>IF(AND(ISNUMBER(SEARCH("Dinner",$C177)),$D177="Western"),RAND(),"")</f>
        <v/>
      </c>
    </row>
    <row r="178" ht="15.75" customHeight="1" s="36">
      <c r="A178" s="18" t="inlineStr">
        <is>
          <t>Grilled Asparagus</t>
        </is>
      </c>
      <c r="B178" s="18" t="inlineStr">
        <is>
          <t>Olive oil, Asparagus, Salt, Black Pepper</t>
        </is>
      </c>
      <c r="C178" s="17" t="inlineStr">
        <is>
          <t>Dinner</t>
        </is>
      </c>
      <c r="D178" s="33" t="inlineStr">
        <is>
          <t>Western</t>
        </is>
      </c>
      <c r="E178" s="17" t="inlineStr">
        <is>
          <t>Low</t>
        </is>
      </c>
      <c r="F178" s="19" t="inlineStr">
        <is>
          <t>https://www.foodiecrush.com/grilled-asparagus/</t>
        </is>
      </c>
      <c r="G178" s="27">
        <f>IF(AND(ISNUMBER(SEARCH("Breakfast",$C178)),$D178="Asian"),RAND(),"")</f>
        <v/>
      </c>
      <c r="H178" s="27">
        <f>IF(AND(ISNUMBER(SEARCH("Breakfast",$C178)),$D178="Chinese"),RAND(),"")</f>
        <v/>
      </c>
      <c r="I178" s="27">
        <f>IF(AND(ISNUMBER(SEARCH("Breakfast",$C178)),$D178="Western"),RAND(),"")</f>
        <v/>
      </c>
      <c r="J178" s="27">
        <f>IF(AND(ISNUMBER(SEARCH("Lunch",$C178)),$D178="Asian"),RAND(),"")</f>
        <v/>
      </c>
      <c r="K178" s="27">
        <f>IF(AND(ISNUMBER(SEARCH("Lunch",$C178)),$D178="Chinese"),RAND(),"")</f>
        <v/>
      </c>
      <c r="L178" s="27">
        <f>IF(AND(ISNUMBER(SEARCH("Lunch",$C178)),$D178="Western"),RAND(),"")</f>
        <v/>
      </c>
      <c r="M178" s="27">
        <f>IF(AND(ISNUMBER(SEARCH("Dinner",$C178)),$D178="Asian"),RAND(),"")</f>
        <v/>
      </c>
      <c r="N178" s="27">
        <f>IF(AND(ISNUMBER(SEARCH("Dinner",$C178)),$D178="Chinese"),RAND(),"")</f>
        <v/>
      </c>
      <c r="O178" s="27">
        <f>IF(AND(ISNUMBER(SEARCH("Dinner",$C178)),$D178="Western"),RAND(),"")</f>
        <v/>
      </c>
    </row>
    <row r="179" ht="15.75" customHeight="1" s="36">
      <c r="A179" s="22" t="inlineStr">
        <is>
          <t>Grilled chicken lettuce wraps</t>
        </is>
      </c>
      <c r="B179" s="22" t="inlineStr">
        <is>
          <t>Lemongrass, Chicken thighs, Romaine heart, Thai chilli, Lime, Cucumber, Cilantro, Mint, Basil</t>
        </is>
      </c>
      <c r="C179" s="21" t="inlineStr">
        <is>
          <t>Dinner</t>
        </is>
      </c>
      <c r="D179" s="29" t="inlineStr">
        <is>
          <t>Asian</t>
        </is>
      </c>
      <c r="E179" s="21" t="inlineStr">
        <is>
          <t>High</t>
        </is>
      </c>
      <c r="F179" s="22" t="n"/>
      <c r="G179" s="28">
        <f>IF(AND(ISNUMBER(SEARCH("Breakfast",$C179)),$D179="Asian"),RAND(),"")</f>
        <v/>
      </c>
      <c r="H179" s="28">
        <f>IF(AND(ISNUMBER(SEARCH("Breakfast",$C179)),$D179="Chinese"),RAND(),"")</f>
        <v/>
      </c>
      <c r="I179" s="28">
        <f>IF(AND(ISNUMBER(SEARCH("Breakfast",$C179)),$D179="Western"),RAND(),"")</f>
        <v/>
      </c>
      <c r="J179" s="28">
        <f>IF(AND(ISNUMBER(SEARCH("Lunch",$C179)),$D179="Asian"),RAND(),"")</f>
        <v/>
      </c>
      <c r="K179" s="28">
        <f>IF(AND(ISNUMBER(SEARCH("Lunch",$C179)),$D179="Chinese"),RAND(),"")</f>
        <v/>
      </c>
      <c r="L179" s="28">
        <f>IF(AND(ISNUMBER(SEARCH("Lunch",$C179)),$D179="Western"),RAND(),"")</f>
        <v/>
      </c>
      <c r="M179" s="28">
        <f>IF(AND(ISNUMBER(SEARCH("Dinner",$C179)),$D179="Asian"),RAND(),"")</f>
        <v/>
      </c>
      <c r="N179" s="28">
        <f>IF(AND(ISNUMBER(SEARCH("Dinner",$C179)),$D179="Chinese"),RAND(),"")</f>
        <v/>
      </c>
      <c r="O179" s="28">
        <f>IF(AND(ISNUMBER(SEARCH("Dinner",$C179)),$D179="Western"),RAND(),"")</f>
        <v/>
      </c>
    </row>
    <row r="180" ht="15.75" customHeight="1" s="36">
      <c r="A180" s="18" t="inlineStr">
        <is>
          <t>Grilled corn</t>
        </is>
      </c>
      <c r="B180" s="18" t="inlineStr">
        <is>
          <t>Corn, Butter, Honey, Miso paste, Paprika, Garlic Powder, Olive Oil, Parmesan Cheese, Mayonaise, Lemon juice</t>
        </is>
      </c>
      <c r="C180" s="17" t="inlineStr">
        <is>
          <t>Dinner</t>
        </is>
      </c>
      <c r="D180" s="30" t="inlineStr">
        <is>
          <t>Western</t>
        </is>
      </c>
      <c r="E180" s="17" t="inlineStr">
        <is>
          <t>Med</t>
        </is>
      </c>
      <c r="F180" s="19" t="inlineStr">
        <is>
          <t>https://www.instagram.com/p/C5yJSvvvVBt/?igsh=aWU1bnk0cGNpeWo4</t>
        </is>
      </c>
      <c r="G180" s="27">
        <f>IF(AND(ISNUMBER(SEARCH("Breakfast",$C180)),$D180="Asian"),RAND(),"")</f>
        <v/>
      </c>
      <c r="H180" s="27">
        <f>IF(AND(ISNUMBER(SEARCH("Breakfast",$C180)),$D180="Chinese"),RAND(),"")</f>
        <v/>
      </c>
      <c r="I180" s="27">
        <f>IF(AND(ISNUMBER(SEARCH("Breakfast",$C180)),$D180="Western"),RAND(),"")</f>
        <v/>
      </c>
      <c r="J180" s="27">
        <f>IF(AND(ISNUMBER(SEARCH("Lunch",$C180)),$D180="Asian"),RAND(),"")</f>
        <v/>
      </c>
      <c r="K180" s="27">
        <f>IF(AND(ISNUMBER(SEARCH("Lunch",$C180)),$D180="Chinese"),RAND(),"")</f>
        <v/>
      </c>
      <c r="L180" s="27">
        <f>IF(AND(ISNUMBER(SEARCH("Lunch",$C180)),$D180="Western"),RAND(),"")</f>
        <v/>
      </c>
      <c r="M180" s="27">
        <f>IF(AND(ISNUMBER(SEARCH("Dinner",$C180)),$D180="Asian"),RAND(),"")</f>
        <v/>
      </c>
      <c r="N180" s="27">
        <f>IF(AND(ISNUMBER(SEARCH("Dinner",$C180)),$D180="Chinese"),RAND(),"")</f>
        <v/>
      </c>
      <c r="O180" s="27">
        <f>IF(AND(ISNUMBER(SEARCH("Dinner",$C180)),$D180="Western"),RAND(),"")</f>
        <v/>
      </c>
    </row>
    <row r="181" ht="15.75" customHeight="1" s="36">
      <c r="A181" s="22" t="inlineStr">
        <is>
          <t>Grilled Tomato</t>
        </is>
      </c>
      <c r="B181" s="22" t="inlineStr">
        <is>
          <t>Big Tomato, Olive Oil, Oregano, Big mozzarella Cheese</t>
        </is>
      </c>
      <c r="C181" s="21" t="inlineStr">
        <is>
          <t>Dinner</t>
        </is>
      </c>
      <c r="D181" s="30" t="inlineStr">
        <is>
          <t>Western</t>
        </is>
      </c>
      <c r="E181" s="21" t="inlineStr">
        <is>
          <t>Med</t>
        </is>
      </c>
      <c r="F181" s="23" t="inlineStr">
        <is>
          <t>https://www.instagram.com/reel/C9U7ETVKa0Z/?igsh=MW02ZTQzaW1oaHlpYw==</t>
        </is>
      </c>
      <c r="G181" s="28">
        <f>IF(AND(ISNUMBER(SEARCH("Breakfast",$C181)),$D181="Asian"),RAND(),"")</f>
        <v/>
      </c>
      <c r="H181" s="28">
        <f>IF(AND(ISNUMBER(SEARCH("Breakfast",$C181)),$D181="Chinese"),RAND(),"")</f>
        <v/>
      </c>
      <c r="I181" s="28">
        <f>IF(AND(ISNUMBER(SEARCH("Breakfast",$C181)),$D181="Western"),RAND(),"")</f>
        <v/>
      </c>
      <c r="J181" s="28">
        <f>IF(AND(ISNUMBER(SEARCH("Lunch",$C181)),$D181="Asian"),RAND(),"")</f>
        <v/>
      </c>
      <c r="K181" s="28">
        <f>IF(AND(ISNUMBER(SEARCH("Lunch",$C181)),$D181="Chinese"),RAND(),"")</f>
        <v/>
      </c>
      <c r="L181" s="28">
        <f>IF(AND(ISNUMBER(SEARCH("Lunch",$C181)),$D181="Western"),RAND(),"")</f>
        <v/>
      </c>
      <c r="M181" s="28">
        <f>IF(AND(ISNUMBER(SEARCH("Dinner",$C181)),$D181="Asian"),RAND(),"")</f>
        <v/>
      </c>
      <c r="N181" s="28">
        <f>IF(AND(ISNUMBER(SEARCH("Dinner",$C181)),$D181="Chinese"),RAND(),"")</f>
        <v/>
      </c>
      <c r="O181" s="28">
        <f>IF(AND(ISNUMBER(SEARCH("Dinner",$C181)),$D181="Western"),RAND(),"")</f>
        <v/>
      </c>
    </row>
    <row r="182" ht="15.75" customHeight="1" s="36">
      <c r="A182" s="18" t="inlineStr">
        <is>
          <t>Gyoza</t>
        </is>
      </c>
      <c r="B182" s="18" t="inlineStr">
        <is>
          <t>—</t>
        </is>
      </c>
      <c r="C182" s="17" t="inlineStr">
        <is>
          <t>Dinner</t>
        </is>
      </c>
      <c r="D182" s="29" t="inlineStr">
        <is>
          <t>Asian</t>
        </is>
      </c>
      <c r="E182" s="17" t="inlineStr">
        <is>
          <t>Med</t>
        </is>
      </c>
      <c r="F182" s="18" t="n"/>
      <c r="G182" s="27">
        <f>IF(AND(ISNUMBER(SEARCH("Breakfast",$C182)),$D182="Asian"),RAND(),"")</f>
        <v/>
      </c>
      <c r="H182" s="27">
        <f>IF(AND(ISNUMBER(SEARCH("Breakfast",$C182)),$D182="Chinese"),RAND(),"")</f>
        <v/>
      </c>
      <c r="I182" s="27">
        <f>IF(AND(ISNUMBER(SEARCH("Breakfast",$C182)),$D182="Western"),RAND(),"")</f>
        <v/>
      </c>
      <c r="J182" s="27">
        <f>IF(AND(ISNUMBER(SEARCH("Lunch",$C182)),$D182="Asian"),RAND(),"")</f>
        <v/>
      </c>
      <c r="K182" s="27">
        <f>IF(AND(ISNUMBER(SEARCH("Lunch",$C182)),$D182="Chinese"),RAND(),"")</f>
        <v/>
      </c>
      <c r="L182" s="27">
        <f>IF(AND(ISNUMBER(SEARCH("Lunch",$C182)),$D182="Western"),RAND(),"")</f>
        <v/>
      </c>
      <c r="M182" s="27">
        <f>IF(AND(ISNUMBER(SEARCH("Dinner",$C182)),$D182="Asian"),RAND(),"")</f>
        <v/>
      </c>
      <c r="N182" s="27">
        <f>IF(AND(ISNUMBER(SEARCH("Dinner",$C182)),$D182="Chinese"),RAND(),"")</f>
        <v/>
      </c>
      <c r="O182" s="27">
        <f>IF(AND(ISNUMBER(SEARCH("Dinner",$C182)),$D182="Western"),RAND(),"")</f>
        <v/>
      </c>
    </row>
    <row r="183" ht="15.75" customHeight="1" s="36">
      <c r="A183" s="22" t="inlineStr">
        <is>
          <t>Gyoza Lunch</t>
        </is>
      </c>
      <c r="B183" s="22" t="inlineStr">
        <is>
          <t>—</t>
        </is>
      </c>
      <c r="C183" s="21" t="inlineStr">
        <is>
          <t>Lunch</t>
        </is>
      </c>
      <c r="D183" s="29" t="inlineStr">
        <is>
          <t>Asian</t>
        </is>
      </c>
      <c r="E183" s="21" t="inlineStr">
        <is>
          <t>Med</t>
        </is>
      </c>
      <c r="F183" s="22" t="n"/>
      <c r="G183" s="28">
        <f>IF(AND(ISNUMBER(SEARCH("Breakfast",$C183)),$D183="Asian"),RAND(),"")</f>
        <v/>
      </c>
      <c r="H183" s="28">
        <f>IF(AND(ISNUMBER(SEARCH("Breakfast",$C183)),$D183="Chinese"),RAND(),"")</f>
        <v/>
      </c>
      <c r="I183" s="28">
        <f>IF(AND(ISNUMBER(SEARCH("Breakfast",$C183)),$D183="Western"),RAND(),"")</f>
        <v/>
      </c>
      <c r="J183" s="28">
        <f>IF(AND(ISNUMBER(SEARCH("Lunch",$C183)),$D183="Asian"),RAND(),"")</f>
        <v/>
      </c>
      <c r="K183" s="28">
        <f>IF(AND(ISNUMBER(SEARCH("Lunch",$C183)),$D183="Chinese"),RAND(),"")</f>
        <v/>
      </c>
      <c r="L183" s="28">
        <f>IF(AND(ISNUMBER(SEARCH("Lunch",$C183)),$D183="Western"),RAND(),"")</f>
        <v/>
      </c>
      <c r="M183" s="28">
        <f>IF(AND(ISNUMBER(SEARCH("Dinner",$C183)),$D183="Asian"),RAND(),"")</f>
        <v/>
      </c>
      <c r="N183" s="28">
        <f>IF(AND(ISNUMBER(SEARCH("Dinner",$C183)),$D183="Chinese"),RAND(),"")</f>
        <v/>
      </c>
      <c r="O183" s="28">
        <f>IF(AND(ISNUMBER(SEARCH("Dinner",$C183)),$D183="Western"),RAND(),"")</f>
        <v/>
      </c>
    </row>
    <row r="184" ht="15.75" customHeight="1" s="36">
      <c r="A184" s="18" t="inlineStr">
        <is>
          <t>Hand tear chicken</t>
        </is>
      </c>
      <c r="B184" s="18" t="inlineStr">
        <is>
          <t>Chicken thigh, Garlic, Spring onion, Lemon, Fish sauce, Sugar, Soya sauce</t>
        </is>
      </c>
      <c r="C184" s="17" t="inlineStr">
        <is>
          <t>Dinner</t>
        </is>
      </c>
      <c r="D184" s="29" t="inlineStr">
        <is>
          <t>Asian</t>
        </is>
      </c>
      <c r="E184" s="17" t="inlineStr">
        <is>
          <t>Med</t>
        </is>
      </c>
      <c r="F184" s="19" t="inlineStr">
        <is>
          <t>https://www.instagram.com/reel/CuF55yDAw-r/?igshid=Y2I2MzMwZWM3ZA==</t>
        </is>
      </c>
      <c r="G184" s="27">
        <f>IF(AND(ISNUMBER(SEARCH("Breakfast",$C184)),$D184="Asian"),RAND(),"")</f>
        <v/>
      </c>
      <c r="H184" s="27">
        <f>IF(AND(ISNUMBER(SEARCH("Breakfast",$C184)),$D184="Chinese"),RAND(),"")</f>
        <v/>
      </c>
      <c r="I184" s="27">
        <f>IF(AND(ISNUMBER(SEARCH("Breakfast",$C184)),$D184="Western"),RAND(),"")</f>
        <v/>
      </c>
      <c r="J184" s="27">
        <f>IF(AND(ISNUMBER(SEARCH("Lunch",$C184)),$D184="Asian"),RAND(),"")</f>
        <v/>
      </c>
      <c r="K184" s="27">
        <f>IF(AND(ISNUMBER(SEARCH("Lunch",$C184)),$D184="Chinese"),RAND(),"")</f>
        <v/>
      </c>
      <c r="L184" s="27">
        <f>IF(AND(ISNUMBER(SEARCH("Lunch",$C184)),$D184="Western"),RAND(),"")</f>
        <v/>
      </c>
      <c r="M184" s="27">
        <f>IF(AND(ISNUMBER(SEARCH("Dinner",$C184)),$D184="Asian"),RAND(),"")</f>
        <v/>
      </c>
      <c r="N184" s="27">
        <f>IF(AND(ISNUMBER(SEARCH("Dinner",$C184)),$D184="Chinese"),RAND(),"")</f>
        <v/>
      </c>
      <c r="O184" s="27">
        <f>IF(AND(ISNUMBER(SEARCH("Dinner",$C184)),$D184="Western"),RAND(),"")</f>
        <v/>
      </c>
    </row>
    <row r="185" ht="15.75" customHeight="1" s="36">
      <c r="A185" s="22" t="inlineStr">
        <is>
          <t>Hashbrown Eggs</t>
        </is>
      </c>
      <c r="B185" s="22" t="inlineStr">
        <is>
          <t>Onion, Potatoes, Eggs</t>
        </is>
      </c>
      <c r="C185" s="21" t="inlineStr">
        <is>
          <t>Lunch</t>
        </is>
      </c>
      <c r="D185" s="33" t="inlineStr">
        <is>
          <t>Western</t>
        </is>
      </c>
      <c r="E185" s="21" t="inlineStr">
        <is>
          <t>Low</t>
        </is>
      </c>
      <c r="F185" s="23" t="inlineStr">
        <is>
          <t>https://www.instagram.com/reel/C6jRvw2MIy6/?igsh=MWcwdjNxeml4Z2czdg==</t>
        </is>
      </c>
      <c r="G185" s="28">
        <f>IF(AND(ISNUMBER(SEARCH("Breakfast",$C185)),$D185="Asian"),RAND(),"")</f>
        <v/>
      </c>
      <c r="H185" s="28">
        <f>IF(AND(ISNUMBER(SEARCH("Breakfast",$C185)),$D185="Chinese"),RAND(),"")</f>
        <v/>
      </c>
      <c r="I185" s="28">
        <f>IF(AND(ISNUMBER(SEARCH("Breakfast",$C185)),$D185="Western"),RAND(),"")</f>
        <v/>
      </c>
      <c r="J185" s="28">
        <f>IF(AND(ISNUMBER(SEARCH("Lunch",$C185)),$D185="Asian"),RAND(),"")</f>
        <v/>
      </c>
      <c r="K185" s="28">
        <f>IF(AND(ISNUMBER(SEARCH("Lunch",$C185)),$D185="Chinese"),RAND(),"")</f>
        <v/>
      </c>
      <c r="L185" s="28">
        <f>IF(AND(ISNUMBER(SEARCH("Lunch",$C185)),$D185="Western"),RAND(),"")</f>
        <v/>
      </c>
      <c r="M185" s="28">
        <f>IF(AND(ISNUMBER(SEARCH("Dinner",$C185)),$D185="Asian"),RAND(),"")</f>
        <v/>
      </c>
      <c r="N185" s="28">
        <f>IF(AND(ISNUMBER(SEARCH("Dinner",$C185)),$D185="Chinese"),RAND(),"")</f>
        <v/>
      </c>
      <c r="O185" s="28">
        <f>IF(AND(ISNUMBER(SEARCH("Dinner",$C185)),$D185="Western"),RAND(),"")</f>
        <v/>
      </c>
    </row>
    <row r="186" ht="15.75" customHeight="1" s="36">
      <c r="A186" s="18" t="inlineStr">
        <is>
          <t>Hassleback Potatoes</t>
        </is>
      </c>
      <c r="B186" s="18" t="inlineStr">
        <is>
          <t>Potatoes, Garlic, Butter, Thyme</t>
        </is>
      </c>
      <c r="C186" s="17" t="inlineStr">
        <is>
          <t>Dinner</t>
        </is>
      </c>
      <c r="D186" s="33" t="inlineStr">
        <is>
          <t>Western</t>
        </is>
      </c>
      <c r="E186" s="17" t="inlineStr">
        <is>
          <t>Low</t>
        </is>
      </c>
      <c r="F186" s="19" t="inlineStr">
        <is>
          <t>https://youtu.be/eK99GLicMGc</t>
        </is>
      </c>
      <c r="G186" s="27">
        <f>IF(AND(ISNUMBER(SEARCH("Breakfast",$C186)),$D186="Asian"),RAND(),"")</f>
        <v/>
      </c>
      <c r="H186" s="27">
        <f>IF(AND(ISNUMBER(SEARCH("Breakfast",$C186)),$D186="Chinese"),RAND(),"")</f>
        <v/>
      </c>
      <c r="I186" s="27">
        <f>IF(AND(ISNUMBER(SEARCH("Breakfast",$C186)),$D186="Western"),RAND(),"")</f>
        <v/>
      </c>
      <c r="J186" s="27">
        <f>IF(AND(ISNUMBER(SEARCH("Lunch",$C186)),$D186="Asian"),RAND(),"")</f>
        <v/>
      </c>
      <c r="K186" s="27">
        <f>IF(AND(ISNUMBER(SEARCH("Lunch",$C186)),$D186="Chinese"),RAND(),"")</f>
        <v/>
      </c>
      <c r="L186" s="27">
        <f>IF(AND(ISNUMBER(SEARCH("Lunch",$C186)),$D186="Western"),RAND(),"")</f>
        <v/>
      </c>
      <c r="M186" s="27">
        <f>IF(AND(ISNUMBER(SEARCH("Dinner",$C186)),$D186="Asian"),RAND(),"")</f>
        <v/>
      </c>
      <c r="N186" s="27">
        <f>IF(AND(ISNUMBER(SEARCH("Dinner",$C186)),$D186="Chinese"),RAND(),"")</f>
        <v/>
      </c>
      <c r="O186" s="27">
        <f>IF(AND(ISNUMBER(SEARCH("Dinner",$C186)),$D186="Western"),RAND(),"")</f>
        <v/>
      </c>
    </row>
    <row r="187" ht="15.75" customHeight="1" s="36">
      <c r="A187" s="22" t="inlineStr">
        <is>
          <t>Hayashi Rice</t>
        </is>
      </c>
      <c r="B187" s="22" t="inlineStr">
        <is>
          <t>Onion, Celery, Carrot, Tomato Paste, Beef Stock, Bay Leaf, Thyme, Coriander, Peppercorn, Unsalted Butter, Flour, Rib Eye beef, Red Wine, Shimeji Mushroom, Button Mushroom, Worcestershire Sauce, Ketchup</t>
        </is>
      </c>
      <c r="C187" s="21" t="inlineStr">
        <is>
          <t>Dinner</t>
        </is>
      </c>
      <c r="D187" s="33" t="inlineStr">
        <is>
          <t>Asian</t>
        </is>
      </c>
      <c r="E187" s="21" t="inlineStr">
        <is>
          <t>Low</t>
        </is>
      </c>
      <c r="F187" s="23" t="inlineStr">
        <is>
          <t>https://youtu.be/iUvYxDWCons</t>
        </is>
      </c>
      <c r="G187" s="28">
        <f>IF(AND(ISNUMBER(SEARCH("Breakfast",$C187)),$D187="Asian"),RAND(),"")</f>
        <v/>
      </c>
      <c r="H187" s="28">
        <f>IF(AND(ISNUMBER(SEARCH("Breakfast",$C187)),$D187="Chinese"),RAND(),"")</f>
        <v/>
      </c>
      <c r="I187" s="28">
        <f>IF(AND(ISNUMBER(SEARCH("Breakfast",$C187)),$D187="Western"),RAND(),"")</f>
        <v/>
      </c>
      <c r="J187" s="28">
        <f>IF(AND(ISNUMBER(SEARCH("Lunch",$C187)),$D187="Asian"),RAND(),"")</f>
        <v/>
      </c>
      <c r="K187" s="28">
        <f>IF(AND(ISNUMBER(SEARCH("Lunch",$C187)),$D187="Chinese"),RAND(),"")</f>
        <v/>
      </c>
      <c r="L187" s="28">
        <f>IF(AND(ISNUMBER(SEARCH("Lunch",$C187)),$D187="Western"),RAND(),"")</f>
        <v/>
      </c>
      <c r="M187" s="28">
        <f>IF(AND(ISNUMBER(SEARCH("Dinner",$C187)),$D187="Asian"),RAND(),"")</f>
        <v/>
      </c>
      <c r="N187" s="28">
        <f>IF(AND(ISNUMBER(SEARCH("Dinner",$C187)),$D187="Chinese"),RAND(),"")</f>
        <v/>
      </c>
      <c r="O187" s="28">
        <f>IF(AND(ISNUMBER(SEARCH("Dinner",$C187)),$D187="Western"),RAND(),"")</f>
        <v/>
      </c>
    </row>
    <row r="188" ht="15.75" customHeight="1" s="36">
      <c r="A188" s="18" t="inlineStr">
        <is>
          <t>Herb Crusted Fish</t>
        </is>
      </c>
      <c r="B188" s="18" t="inlineStr">
        <is>
          <t>Halibut, tomato, Shallots, Basil, Parsley, Parmasean, Bread, Balsamic Vinegar</t>
        </is>
      </c>
      <c r="C188" s="17" t="inlineStr">
        <is>
          <t>Dinner</t>
        </is>
      </c>
      <c r="D188" s="30" t="inlineStr">
        <is>
          <t>Western</t>
        </is>
      </c>
      <c r="E188" s="17" t="inlineStr">
        <is>
          <t>High</t>
        </is>
      </c>
      <c r="F188" s="19" t="inlineStr">
        <is>
          <t>https://youtu.be/4qhizgSz_5Q</t>
        </is>
      </c>
      <c r="G188" s="27">
        <f>IF(AND(ISNUMBER(SEARCH("Breakfast",$C188)),$D188="Asian"),RAND(),"")</f>
        <v/>
      </c>
      <c r="H188" s="27">
        <f>IF(AND(ISNUMBER(SEARCH("Breakfast",$C188)),$D188="Chinese"),RAND(),"")</f>
        <v/>
      </c>
      <c r="I188" s="27">
        <f>IF(AND(ISNUMBER(SEARCH("Breakfast",$C188)),$D188="Western"),RAND(),"")</f>
        <v/>
      </c>
      <c r="J188" s="27">
        <f>IF(AND(ISNUMBER(SEARCH("Lunch",$C188)),$D188="Asian"),RAND(),"")</f>
        <v/>
      </c>
      <c r="K188" s="27">
        <f>IF(AND(ISNUMBER(SEARCH("Lunch",$C188)),$D188="Chinese"),RAND(),"")</f>
        <v/>
      </c>
      <c r="L188" s="27">
        <f>IF(AND(ISNUMBER(SEARCH("Lunch",$C188)),$D188="Western"),RAND(),"")</f>
        <v/>
      </c>
      <c r="M188" s="27">
        <f>IF(AND(ISNUMBER(SEARCH("Dinner",$C188)),$D188="Asian"),RAND(),"")</f>
        <v/>
      </c>
      <c r="N188" s="27">
        <f>IF(AND(ISNUMBER(SEARCH("Dinner",$C188)),$D188="Chinese"),RAND(),"")</f>
        <v/>
      </c>
      <c r="O188" s="27">
        <f>IF(AND(ISNUMBER(SEARCH("Dinner",$C188)),$D188="Western"),RAND(),"")</f>
        <v/>
      </c>
    </row>
    <row r="189" ht="15.75" customHeight="1" s="36">
      <c r="A189" s="22" t="inlineStr">
        <is>
          <t>Herbal Chicken</t>
        </is>
      </c>
      <c r="B189" s="22" t="inlineStr">
        <is>
          <t>Herbs Pack, Chicken</t>
        </is>
      </c>
      <c r="C189" s="21" t="inlineStr">
        <is>
          <t>Dinner</t>
        </is>
      </c>
      <c r="D189" s="26" t="inlineStr">
        <is>
          <t>Chinese</t>
        </is>
      </c>
      <c r="E189" s="21" t="inlineStr">
        <is>
          <t>Med</t>
        </is>
      </c>
      <c r="F189" s="22" t="n"/>
      <c r="G189" s="28">
        <f>IF(AND(ISNUMBER(SEARCH("Breakfast",$C189)),$D189="Asian"),RAND(),"")</f>
        <v/>
      </c>
      <c r="H189" s="28">
        <f>IF(AND(ISNUMBER(SEARCH("Breakfast",$C189)),$D189="Chinese"),RAND(),"")</f>
        <v/>
      </c>
      <c r="I189" s="28">
        <f>IF(AND(ISNUMBER(SEARCH("Breakfast",$C189)),$D189="Western"),RAND(),"")</f>
        <v/>
      </c>
      <c r="J189" s="28">
        <f>IF(AND(ISNUMBER(SEARCH("Lunch",$C189)),$D189="Asian"),RAND(),"")</f>
        <v/>
      </c>
      <c r="K189" s="28">
        <f>IF(AND(ISNUMBER(SEARCH("Lunch",$C189)),$D189="Chinese"),RAND(),"")</f>
        <v/>
      </c>
      <c r="L189" s="28">
        <f>IF(AND(ISNUMBER(SEARCH("Lunch",$C189)),$D189="Western"),RAND(),"")</f>
        <v/>
      </c>
      <c r="M189" s="28">
        <f>IF(AND(ISNUMBER(SEARCH("Dinner",$C189)),$D189="Asian"),RAND(),"")</f>
        <v/>
      </c>
      <c r="N189" s="28">
        <f>IF(AND(ISNUMBER(SEARCH("Dinner",$C189)),$D189="Chinese"),RAND(),"")</f>
        <v/>
      </c>
      <c r="O189" s="28">
        <f>IF(AND(ISNUMBER(SEARCH("Dinner",$C189)),$D189="Western"),RAND(),"")</f>
        <v/>
      </c>
    </row>
    <row r="190" ht="15.75" customHeight="1" s="36">
      <c r="A190" s="18" t="inlineStr">
        <is>
          <t>Herbal CHicken Soup</t>
        </is>
      </c>
      <c r="B190" s="18" t="inlineStr">
        <is>
          <t>Herbal Chicken Pack, Chicken</t>
        </is>
      </c>
      <c r="C190" s="17" t="inlineStr">
        <is>
          <t>Dinner</t>
        </is>
      </c>
      <c r="D190" s="26" t="inlineStr">
        <is>
          <t>Chinese</t>
        </is>
      </c>
      <c r="E190" s="17" t="inlineStr">
        <is>
          <t>Med</t>
        </is>
      </c>
      <c r="F190" s="18" t="n"/>
      <c r="G190" s="27">
        <f>IF(AND(ISNUMBER(SEARCH("Breakfast",$C190)),$D190="Asian"),RAND(),"")</f>
        <v/>
      </c>
      <c r="H190" s="27">
        <f>IF(AND(ISNUMBER(SEARCH("Breakfast",$C190)),$D190="Chinese"),RAND(),"")</f>
        <v/>
      </c>
      <c r="I190" s="27">
        <f>IF(AND(ISNUMBER(SEARCH("Breakfast",$C190)),$D190="Western"),RAND(),"")</f>
        <v/>
      </c>
      <c r="J190" s="27">
        <f>IF(AND(ISNUMBER(SEARCH("Lunch",$C190)),$D190="Asian"),RAND(),"")</f>
        <v/>
      </c>
      <c r="K190" s="27">
        <f>IF(AND(ISNUMBER(SEARCH("Lunch",$C190)),$D190="Chinese"),RAND(),"")</f>
        <v/>
      </c>
      <c r="L190" s="27">
        <f>IF(AND(ISNUMBER(SEARCH("Lunch",$C190)),$D190="Western"),RAND(),"")</f>
        <v/>
      </c>
      <c r="M190" s="27">
        <f>IF(AND(ISNUMBER(SEARCH("Dinner",$C190)),$D190="Asian"),RAND(),"")</f>
        <v/>
      </c>
      <c r="N190" s="27">
        <f>IF(AND(ISNUMBER(SEARCH("Dinner",$C190)),$D190="Chinese"),RAND(),"")</f>
        <v/>
      </c>
      <c r="O190" s="27">
        <f>IF(AND(ISNUMBER(SEARCH("Dinner",$C190)),$D190="Western"),RAND(),"")</f>
        <v/>
      </c>
      <c r="P190" s="0" t="b">
        <v>1</v>
      </c>
    </row>
    <row r="191" ht="15.75" customHeight="1" s="36">
      <c r="A191" s="22" t="inlineStr">
        <is>
          <t>Herbal Prawns</t>
        </is>
      </c>
      <c r="B191" s="22" t="inlineStr">
        <is>
          <t>Prawns, 黄耆, 红枣, 当归, Chicken Stock, Shaoxing wine</t>
        </is>
      </c>
      <c r="C191" s="21" t="inlineStr">
        <is>
          <t>Dinner</t>
        </is>
      </c>
      <c r="D191" s="26" t="inlineStr">
        <is>
          <t>Chinese</t>
        </is>
      </c>
      <c r="E191" s="21" t="inlineStr">
        <is>
          <t>High</t>
        </is>
      </c>
      <c r="F191" s="23" t="inlineStr">
        <is>
          <t>https://youtu.be/QiqCurzdrzI</t>
        </is>
      </c>
      <c r="G191" s="28">
        <f>IF(AND(ISNUMBER(SEARCH("Breakfast",$C191)),$D191="Asian"),RAND(),"")</f>
        <v/>
      </c>
      <c r="H191" s="28">
        <f>IF(AND(ISNUMBER(SEARCH("Breakfast",$C191)),$D191="Chinese"),RAND(),"")</f>
        <v/>
      </c>
      <c r="I191" s="28">
        <f>IF(AND(ISNUMBER(SEARCH("Breakfast",$C191)),$D191="Western"),RAND(),"")</f>
        <v/>
      </c>
      <c r="J191" s="28">
        <f>IF(AND(ISNUMBER(SEARCH("Lunch",$C191)),$D191="Asian"),RAND(),"")</f>
        <v/>
      </c>
      <c r="K191" s="28">
        <f>IF(AND(ISNUMBER(SEARCH("Lunch",$C191)),$D191="Chinese"),RAND(),"")</f>
        <v/>
      </c>
      <c r="L191" s="28">
        <f>IF(AND(ISNUMBER(SEARCH("Lunch",$C191)),$D191="Western"),RAND(),"")</f>
        <v/>
      </c>
      <c r="M191" s="28">
        <f>IF(AND(ISNUMBER(SEARCH("Dinner",$C191)),$D191="Asian"),RAND(),"")</f>
        <v/>
      </c>
      <c r="N191" s="28">
        <f>IF(AND(ISNUMBER(SEARCH("Dinner",$C191)),$D191="Chinese"),RAND(),"")</f>
        <v/>
      </c>
      <c r="O191" s="28">
        <f>IF(AND(ISNUMBER(SEARCH("Dinner",$C191)),$D191="Western"),RAND(),"")</f>
        <v/>
      </c>
    </row>
    <row r="192" ht="15.75" customHeight="1" s="36">
      <c r="A192" s="18" t="inlineStr">
        <is>
          <t>Herby Swiss chard fritters</t>
        </is>
      </c>
      <c r="B192" s="18" t="inlineStr">
        <is>
          <t>Swiss chard, Basil, Greek yoghurt, Garlic, Lemon, Parsley, Flour, Egg, Nutmeg, Panko breadcrumbs</t>
        </is>
      </c>
      <c r="C192" s="17" t="inlineStr">
        <is>
          <t>Dinner</t>
        </is>
      </c>
      <c r="D192" s="33" t="inlineStr">
        <is>
          <t>Western</t>
        </is>
      </c>
      <c r="E192" s="17" t="inlineStr">
        <is>
          <t>Low</t>
        </is>
      </c>
      <c r="F192" s="18" t="n"/>
      <c r="G192" s="27">
        <f>IF(AND(ISNUMBER(SEARCH("Breakfast",$C192)),$D192="Asian"),RAND(),"")</f>
        <v/>
      </c>
      <c r="H192" s="27">
        <f>IF(AND(ISNUMBER(SEARCH("Breakfast",$C192)),$D192="Chinese"),RAND(),"")</f>
        <v/>
      </c>
      <c r="I192" s="27">
        <f>IF(AND(ISNUMBER(SEARCH("Breakfast",$C192)),$D192="Western"),RAND(),"")</f>
        <v/>
      </c>
      <c r="J192" s="27">
        <f>IF(AND(ISNUMBER(SEARCH("Lunch",$C192)),$D192="Asian"),RAND(),"")</f>
        <v/>
      </c>
      <c r="K192" s="27">
        <f>IF(AND(ISNUMBER(SEARCH("Lunch",$C192)),$D192="Chinese"),RAND(),"")</f>
        <v/>
      </c>
      <c r="L192" s="27">
        <f>IF(AND(ISNUMBER(SEARCH("Lunch",$C192)),$D192="Western"),RAND(),"")</f>
        <v/>
      </c>
      <c r="M192" s="27">
        <f>IF(AND(ISNUMBER(SEARCH("Dinner",$C192)),$D192="Asian"),RAND(),"")</f>
        <v/>
      </c>
      <c r="N192" s="27">
        <f>IF(AND(ISNUMBER(SEARCH("Dinner",$C192)),$D192="Chinese"),RAND(),"")</f>
        <v/>
      </c>
      <c r="O192" s="27">
        <f>IF(AND(ISNUMBER(SEARCH("Dinner",$C192)),$D192="Western"),RAND(),"")</f>
        <v/>
      </c>
    </row>
    <row r="193" ht="15.75" customHeight="1" s="36">
      <c r="A193" s="22" t="inlineStr">
        <is>
          <t>Hokkien Mee</t>
        </is>
      </c>
      <c r="B193" s="32" t="inlineStr">
        <is>
          <t>猪筒骨, 猪尾, White Peppercorn, Ikan Bilis, Rock Sugar, Fish Sauce, Garlic, Squid, Pork Belly, Fish Cake, Ginger, Yellow Noodles, Thick Bee Hoon, Prawns, Soy Sauce</t>
        </is>
      </c>
      <c r="C193" s="21" t="inlineStr">
        <is>
          <t>Dinner</t>
        </is>
      </c>
      <c r="D193" s="26" t="inlineStr">
        <is>
          <t>Chinese</t>
        </is>
      </c>
      <c r="E193" s="21" t="inlineStr">
        <is>
          <t>Med</t>
        </is>
      </c>
      <c r="F193" s="23" t="inlineStr">
        <is>
          <t>https://themeatmen.sg/recipes/hokkien-prawn-mee/</t>
        </is>
      </c>
      <c r="G193" s="28">
        <f>IF(AND(ISNUMBER(SEARCH("Breakfast",$C193)),$D193="Asian"),RAND(),"")</f>
        <v/>
      </c>
      <c r="H193" s="28">
        <f>IF(AND(ISNUMBER(SEARCH("Breakfast",$C193)),$D193="Chinese"),RAND(),"")</f>
        <v/>
      </c>
      <c r="I193" s="28">
        <f>IF(AND(ISNUMBER(SEARCH("Breakfast",$C193)),$D193="Western"),RAND(),"")</f>
        <v/>
      </c>
      <c r="J193" s="28">
        <f>IF(AND(ISNUMBER(SEARCH("Lunch",$C193)),$D193="Asian"),RAND(),"")</f>
        <v/>
      </c>
      <c r="K193" s="28">
        <f>IF(AND(ISNUMBER(SEARCH("Lunch",$C193)),$D193="Chinese"),RAND(),"")</f>
        <v/>
      </c>
      <c r="L193" s="28">
        <f>IF(AND(ISNUMBER(SEARCH("Lunch",$C193)),$D193="Western"),RAND(),"")</f>
        <v/>
      </c>
      <c r="M193" s="28">
        <f>IF(AND(ISNUMBER(SEARCH("Dinner",$C193)),$D193="Asian"),RAND(),"")</f>
        <v/>
      </c>
      <c r="N193" s="28">
        <f>IF(AND(ISNUMBER(SEARCH("Dinner",$C193)),$D193="Chinese"),RAND(),"")</f>
        <v/>
      </c>
      <c r="O193" s="28">
        <f>IF(AND(ISNUMBER(SEARCH("Dinner",$C193)),$D193="Western"),RAND(),"")</f>
        <v/>
      </c>
    </row>
    <row r="194" ht="15.75" customHeight="1" s="36">
      <c r="A194" s="18" t="inlineStr">
        <is>
          <t>Homemade Frittata</t>
        </is>
      </c>
      <c r="B194" s="18" t="inlineStr">
        <is>
          <t>Yellow Onion, Button Mushrooms, tomatoes, Spinach, Cheese</t>
        </is>
      </c>
      <c r="C194" s="17" t="inlineStr">
        <is>
          <t>Dinner</t>
        </is>
      </c>
      <c r="D194" s="30" t="inlineStr">
        <is>
          <t>Western</t>
        </is>
      </c>
      <c r="E194" s="17" t="inlineStr">
        <is>
          <t>Med</t>
        </is>
      </c>
      <c r="F194" s="19" t="inlineStr">
        <is>
          <t>https://www.instagram.com/reel/C_Kq23fyzWY/?igsh=MTIzbHRpOHJrd2tseQ==</t>
        </is>
      </c>
      <c r="G194" s="27">
        <f>IF(AND(ISNUMBER(SEARCH("Breakfast",$C194)),$D194="Asian"),RAND(),"")</f>
        <v/>
      </c>
      <c r="H194" s="27">
        <f>IF(AND(ISNUMBER(SEARCH("Breakfast",$C194)),$D194="Chinese"),RAND(),"")</f>
        <v/>
      </c>
      <c r="I194" s="27">
        <f>IF(AND(ISNUMBER(SEARCH("Breakfast",$C194)),$D194="Western"),RAND(),"")</f>
        <v/>
      </c>
      <c r="J194" s="27">
        <f>IF(AND(ISNUMBER(SEARCH("Lunch",$C194)),$D194="Asian"),RAND(),"")</f>
        <v/>
      </c>
      <c r="K194" s="27">
        <f>IF(AND(ISNUMBER(SEARCH("Lunch",$C194)),$D194="Chinese"),RAND(),"")</f>
        <v/>
      </c>
      <c r="L194" s="27">
        <f>IF(AND(ISNUMBER(SEARCH("Lunch",$C194)),$D194="Western"),RAND(),"")</f>
        <v/>
      </c>
      <c r="M194" s="27">
        <f>IF(AND(ISNUMBER(SEARCH("Dinner",$C194)),$D194="Asian"),RAND(),"")</f>
        <v/>
      </c>
      <c r="N194" s="27">
        <f>IF(AND(ISNUMBER(SEARCH("Dinner",$C194)),$D194="Chinese"),RAND(),"")</f>
        <v/>
      </c>
      <c r="O194" s="27">
        <f>IF(AND(ISNUMBER(SEARCH("Dinner",$C194)),$D194="Western"),RAND(),"")</f>
        <v/>
      </c>
    </row>
    <row r="195" ht="15.75" customHeight="1" s="36">
      <c r="A195" s="22" t="inlineStr">
        <is>
          <t>Honey Garlic Shrimp</t>
        </is>
      </c>
      <c r="B195" s="22" t="inlineStr">
        <is>
          <t>Honey, Soy Sauce, Garlic, Ginger, Red Pepper Flakes, Shrimp, Silantro, Green Onion</t>
        </is>
      </c>
      <c r="C195" s="21" t="inlineStr">
        <is>
          <t>Dinner</t>
        </is>
      </c>
      <c r="D195" s="33" t="inlineStr">
        <is>
          <t>Chinese</t>
        </is>
      </c>
      <c r="E195" s="21" t="inlineStr">
        <is>
          <t>Low</t>
        </is>
      </c>
      <c r="F195" s="22" t="n"/>
      <c r="G195" s="28">
        <f>IF(AND(ISNUMBER(SEARCH("Breakfast",$C195)),$D195="Asian"),RAND(),"")</f>
        <v/>
      </c>
      <c r="H195" s="28">
        <f>IF(AND(ISNUMBER(SEARCH("Breakfast",$C195)),$D195="Chinese"),RAND(),"")</f>
        <v/>
      </c>
      <c r="I195" s="28">
        <f>IF(AND(ISNUMBER(SEARCH("Breakfast",$C195)),$D195="Western"),RAND(),"")</f>
        <v/>
      </c>
      <c r="J195" s="28">
        <f>IF(AND(ISNUMBER(SEARCH("Lunch",$C195)),$D195="Asian"),RAND(),"")</f>
        <v/>
      </c>
      <c r="K195" s="28">
        <f>IF(AND(ISNUMBER(SEARCH("Lunch",$C195)),$D195="Chinese"),RAND(),"")</f>
        <v/>
      </c>
      <c r="L195" s="28">
        <f>IF(AND(ISNUMBER(SEARCH("Lunch",$C195)),$D195="Western"),RAND(),"")</f>
        <v/>
      </c>
      <c r="M195" s="28">
        <f>IF(AND(ISNUMBER(SEARCH("Dinner",$C195)),$D195="Asian"),RAND(),"")</f>
        <v/>
      </c>
      <c r="N195" s="28">
        <f>IF(AND(ISNUMBER(SEARCH("Dinner",$C195)),$D195="Chinese"),RAND(),"")</f>
        <v/>
      </c>
      <c r="O195" s="28">
        <f>IF(AND(ISNUMBER(SEARCH("Dinner",$C195)),$D195="Western"),RAND(),"")</f>
        <v/>
      </c>
    </row>
    <row r="196" ht="15.75" customHeight="1" s="36">
      <c r="A196" s="18" t="inlineStr">
        <is>
          <t>Honey Glazed Salmon with Lemon</t>
        </is>
      </c>
      <c r="B196" s="18" t="inlineStr">
        <is>
          <t>Salmon, Olive oil, Butter, Garlic, Honey, Lemon Juice, Paprika, Flour, Garlic Powder</t>
        </is>
      </c>
      <c r="C196" s="17" t="inlineStr">
        <is>
          <t>Dinner</t>
        </is>
      </c>
      <c r="D196" s="33" t="inlineStr">
        <is>
          <t>Western</t>
        </is>
      </c>
      <c r="E196" s="17" t="inlineStr">
        <is>
          <t>Low</t>
        </is>
      </c>
      <c r="F196" s="19" t="inlineStr">
        <is>
          <t>https://theasianparent.page.link/6AGLo4T6gwXkQbB66</t>
        </is>
      </c>
      <c r="G196" s="27">
        <f>IF(AND(ISNUMBER(SEARCH("Breakfast",$C196)),$D196="Asian"),RAND(),"")</f>
        <v/>
      </c>
      <c r="H196" s="27">
        <f>IF(AND(ISNUMBER(SEARCH("Breakfast",$C196)),$D196="Chinese"),RAND(),"")</f>
        <v/>
      </c>
      <c r="I196" s="27">
        <f>IF(AND(ISNUMBER(SEARCH("Breakfast",$C196)),$D196="Western"),RAND(),"")</f>
        <v/>
      </c>
      <c r="J196" s="27">
        <f>IF(AND(ISNUMBER(SEARCH("Lunch",$C196)),$D196="Asian"),RAND(),"")</f>
        <v/>
      </c>
      <c r="K196" s="27">
        <f>IF(AND(ISNUMBER(SEARCH("Lunch",$C196)),$D196="Chinese"),RAND(),"")</f>
        <v/>
      </c>
      <c r="L196" s="27">
        <f>IF(AND(ISNUMBER(SEARCH("Lunch",$C196)),$D196="Western"),RAND(),"")</f>
        <v/>
      </c>
      <c r="M196" s="27">
        <f>IF(AND(ISNUMBER(SEARCH("Dinner",$C196)),$D196="Asian"),RAND(),"")</f>
        <v/>
      </c>
      <c r="N196" s="27">
        <f>IF(AND(ISNUMBER(SEARCH("Dinner",$C196)),$D196="Chinese"),RAND(),"")</f>
        <v/>
      </c>
      <c r="O196" s="27">
        <f>IF(AND(ISNUMBER(SEARCH("Dinner",$C196)),$D196="Western"),RAND(),"")</f>
        <v/>
      </c>
    </row>
    <row r="197" ht="15.75" customHeight="1" s="36">
      <c r="A197" s="22" t="inlineStr">
        <is>
          <t>Honeynut Harvest Cousscous Salad</t>
        </is>
      </c>
      <c r="B197" s="22" t="inlineStr">
        <is>
          <t>Couscous, Chickpeas, Honeynut Squash, Shallot, Parsley, Pumpkin Seeds, Lemon, Olive oil, Garlic, Coriander Seeds, Cayenne, Cinnamon, Maple Syrup</t>
        </is>
      </c>
      <c r="C197" s="21" t="inlineStr">
        <is>
          <t>Dinner</t>
        </is>
      </c>
      <c r="D197" s="30" t="inlineStr">
        <is>
          <t>Western</t>
        </is>
      </c>
      <c r="E197" s="21" t="inlineStr">
        <is>
          <t>High</t>
        </is>
      </c>
      <c r="F197" s="23" t="inlineStr">
        <is>
          <t>https://munchingwithmariyah.com/honeynut-harvest-couscous-salad/</t>
        </is>
      </c>
      <c r="G197" s="28">
        <f>IF(AND(ISNUMBER(SEARCH("Breakfast",$C197)),$D197="Asian"),RAND(),"")</f>
        <v/>
      </c>
      <c r="H197" s="28">
        <f>IF(AND(ISNUMBER(SEARCH("Breakfast",$C197)),$D197="Chinese"),RAND(),"")</f>
        <v/>
      </c>
      <c r="I197" s="28">
        <f>IF(AND(ISNUMBER(SEARCH("Breakfast",$C197)),$D197="Western"),RAND(),"")</f>
        <v/>
      </c>
      <c r="J197" s="28">
        <f>IF(AND(ISNUMBER(SEARCH("Lunch",$C197)),$D197="Asian"),RAND(),"")</f>
        <v/>
      </c>
      <c r="K197" s="28">
        <f>IF(AND(ISNUMBER(SEARCH("Lunch",$C197)),$D197="Chinese"),RAND(),"")</f>
        <v/>
      </c>
      <c r="L197" s="28">
        <f>IF(AND(ISNUMBER(SEARCH("Lunch",$C197)),$D197="Western"),RAND(),"")</f>
        <v/>
      </c>
      <c r="M197" s="28">
        <f>IF(AND(ISNUMBER(SEARCH("Dinner",$C197)),$D197="Asian"),RAND(),"")</f>
        <v/>
      </c>
      <c r="N197" s="28">
        <f>IF(AND(ISNUMBER(SEARCH("Dinner",$C197)),$D197="Chinese"),RAND(),"")</f>
        <v/>
      </c>
      <c r="O197" s="28">
        <f>IF(AND(ISNUMBER(SEARCH("Dinner",$C197)),$D197="Western"),RAND(),"")</f>
        <v/>
      </c>
    </row>
    <row r="198" ht="15.75" customHeight="1" s="36">
      <c r="A198" s="18" t="inlineStr">
        <is>
          <t>Hot plate Tofu</t>
        </is>
      </c>
      <c r="B198" s="18" t="inlineStr">
        <is>
          <t>Egg tofu, Pork Minced Meat, Shiitake mushrooms, Garlic, Ginger, Shallots, Eggs, Oil, Soy sauce, White pepper, Cornflour, Sesame oil, Oyster sauce, Shaoxing wine, Dark soy sauce, Spring onion, Chilli, Chicken minced meat</t>
        </is>
      </c>
      <c r="C198" s="17" t="inlineStr">
        <is>
          <t>Dinner</t>
        </is>
      </c>
      <c r="D198" s="26" t="inlineStr">
        <is>
          <t>Chinese</t>
        </is>
      </c>
      <c r="E198" s="17" t="inlineStr">
        <is>
          <t>High</t>
        </is>
      </c>
      <c r="F198" s="19" t="inlineStr">
        <is>
          <t>https://youtu.be/3GellZpUWnA?si=Zqxh3loC1D6KmAqu</t>
        </is>
      </c>
      <c r="G198" s="27">
        <f>IF(AND(ISNUMBER(SEARCH("Breakfast",$C198)),$D198="Asian"),RAND(),"")</f>
        <v/>
      </c>
      <c r="H198" s="27">
        <f>IF(AND(ISNUMBER(SEARCH("Breakfast",$C198)),$D198="Chinese"),RAND(),"")</f>
        <v/>
      </c>
      <c r="I198" s="27">
        <f>IF(AND(ISNUMBER(SEARCH("Breakfast",$C198)),$D198="Western"),RAND(),"")</f>
        <v/>
      </c>
      <c r="J198" s="27">
        <f>IF(AND(ISNUMBER(SEARCH("Lunch",$C198)),$D198="Asian"),RAND(),"")</f>
        <v/>
      </c>
      <c r="K198" s="27">
        <f>IF(AND(ISNUMBER(SEARCH("Lunch",$C198)),$D198="Chinese"),RAND(),"")</f>
        <v/>
      </c>
      <c r="L198" s="27">
        <f>IF(AND(ISNUMBER(SEARCH("Lunch",$C198)),$D198="Western"),RAND(),"")</f>
        <v/>
      </c>
      <c r="M198" s="27">
        <f>IF(AND(ISNUMBER(SEARCH("Dinner",$C198)),$D198="Asian"),RAND(),"")</f>
        <v/>
      </c>
      <c r="N198" s="27">
        <f>IF(AND(ISNUMBER(SEARCH("Dinner",$C198)),$D198="Chinese"),RAND(),"")</f>
        <v/>
      </c>
      <c r="O198" s="27">
        <f>IF(AND(ISNUMBER(SEARCH("Dinner",$C198)),$D198="Western"),RAND(),"")</f>
        <v/>
      </c>
    </row>
    <row r="199" ht="15.75" customHeight="1" s="36">
      <c r="A199" s="22" t="inlineStr">
        <is>
          <t>Hotpot</t>
        </is>
      </c>
      <c r="B199" s="22" t="inlineStr">
        <is>
          <t>—</t>
        </is>
      </c>
      <c r="C199" s="21" t="inlineStr">
        <is>
          <t>Dinner</t>
        </is>
      </c>
      <c r="D199" s="33" t="inlineStr">
        <is>
          <t>Chinese</t>
        </is>
      </c>
      <c r="E199" s="21" t="inlineStr">
        <is>
          <t>Low</t>
        </is>
      </c>
      <c r="F199" s="22" t="n"/>
      <c r="G199" s="28">
        <f>IF(AND(ISNUMBER(SEARCH("Breakfast",$C199)),$D199="Asian"),RAND(),"")</f>
        <v/>
      </c>
      <c r="H199" s="28">
        <f>IF(AND(ISNUMBER(SEARCH("Breakfast",$C199)),$D199="Chinese"),RAND(),"")</f>
        <v/>
      </c>
      <c r="I199" s="28">
        <f>IF(AND(ISNUMBER(SEARCH("Breakfast",$C199)),$D199="Western"),RAND(),"")</f>
        <v/>
      </c>
      <c r="J199" s="28">
        <f>IF(AND(ISNUMBER(SEARCH("Lunch",$C199)),$D199="Asian"),RAND(),"")</f>
        <v/>
      </c>
      <c r="K199" s="28">
        <f>IF(AND(ISNUMBER(SEARCH("Lunch",$C199)),$D199="Chinese"),RAND(),"")</f>
        <v/>
      </c>
      <c r="L199" s="28">
        <f>IF(AND(ISNUMBER(SEARCH("Lunch",$C199)),$D199="Western"),RAND(),"")</f>
        <v/>
      </c>
      <c r="M199" s="28">
        <f>IF(AND(ISNUMBER(SEARCH("Dinner",$C199)),$D199="Asian"),RAND(),"")</f>
        <v/>
      </c>
      <c r="N199" s="28">
        <f>IF(AND(ISNUMBER(SEARCH("Dinner",$C199)),$D199="Chinese"),RAND(),"")</f>
        <v/>
      </c>
      <c r="O199" s="28">
        <f>IF(AND(ISNUMBER(SEARCH("Dinner",$C199)),$D199="Western"),RAND(),"")</f>
        <v/>
      </c>
    </row>
    <row r="200" ht="15.75" customHeight="1" s="36">
      <c r="A200" s="18" t="inlineStr">
        <is>
          <t>Huadiao Chicken Soup</t>
        </is>
      </c>
      <c r="B200" s="18" t="inlineStr">
        <is>
          <t>Chicken Thigh, Huadiao Wine, Ginger, Goji Berries, Red dates, Chicken Broth, Oil, Shimeiji Mushroom, Tang Hoon</t>
        </is>
      </c>
      <c r="C200" s="17" t="inlineStr">
        <is>
          <t>Dinner</t>
        </is>
      </c>
      <c r="D200" s="26" t="inlineStr">
        <is>
          <t>Chinese</t>
        </is>
      </c>
      <c r="E200" s="17" t="inlineStr">
        <is>
          <t>Med</t>
        </is>
      </c>
      <c r="F200" s="19" t="inlineStr">
        <is>
          <t>https://www.instagram.com/reel/DOJEzGdiZYN/?igsh=MW40emdkZDU3M3BvZg==</t>
        </is>
      </c>
      <c r="G200" s="27">
        <f>IF(AND(ISNUMBER(SEARCH("Breakfast",$C200)),$D200="Asian"),RAND(),"")</f>
        <v/>
      </c>
      <c r="H200" s="27">
        <f>IF(AND(ISNUMBER(SEARCH("Breakfast",$C200)),$D200="Chinese"),RAND(),"")</f>
        <v/>
      </c>
      <c r="I200" s="27">
        <f>IF(AND(ISNUMBER(SEARCH("Breakfast",$C200)),$D200="Western"),RAND(),"")</f>
        <v/>
      </c>
      <c r="J200" s="27">
        <f>IF(AND(ISNUMBER(SEARCH("Lunch",$C200)),$D200="Asian"),RAND(),"")</f>
        <v/>
      </c>
      <c r="K200" s="27">
        <f>IF(AND(ISNUMBER(SEARCH("Lunch",$C200)),$D200="Chinese"),RAND(),"")</f>
        <v/>
      </c>
      <c r="L200" s="27">
        <f>IF(AND(ISNUMBER(SEARCH("Lunch",$C200)),$D200="Western"),RAND(),"")</f>
        <v/>
      </c>
      <c r="M200" s="27">
        <f>IF(AND(ISNUMBER(SEARCH("Dinner",$C200)),$D200="Asian"),RAND(),"")</f>
        <v/>
      </c>
      <c r="N200" s="27">
        <f>IF(AND(ISNUMBER(SEARCH("Dinner",$C200)),$D200="Chinese"),RAND(),"")</f>
        <v/>
      </c>
      <c r="O200" s="27">
        <f>IF(AND(ISNUMBER(SEARCH("Dinner",$C200)),$D200="Western"),RAND(),"")</f>
        <v/>
      </c>
      <c r="P200" s="0" t="b">
        <v>1</v>
      </c>
    </row>
    <row r="201" ht="15.75" customHeight="1" s="36">
      <c r="A201" s="22" t="inlineStr">
        <is>
          <t>Hummus</t>
        </is>
      </c>
      <c r="B201" s="22" t="inlineStr">
        <is>
          <t>Chickpea, tahini, roasted garlic, olive oil, Pita bread</t>
        </is>
      </c>
      <c r="C201" s="21" t="inlineStr">
        <is>
          <t>Dinner</t>
        </is>
      </c>
      <c r="D201" s="30" t="inlineStr">
        <is>
          <t>Western</t>
        </is>
      </c>
      <c r="E201" s="21" t="inlineStr">
        <is>
          <t>Med</t>
        </is>
      </c>
      <c r="F201" s="22" t="n"/>
      <c r="G201" s="28">
        <f>IF(AND(ISNUMBER(SEARCH("Breakfast",$C201)),$D201="Asian"),RAND(),"")</f>
        <v/>
      </c>
      <c r="H201" s="28">
        <f>IF(AND(ISNUMBER(SEARCH("Breakfast",$C201)),$D201="Chinese"),RAND(),"")</f>
        <v/>
      </c>
      <c r="I201" s="28">
        <f>IF(AND(ISNUMBER(SEARCH("Breakfast",$C201)),$D201="Western"),RAND(),"")</f>
        <v/>
      </c>
      <c r="J201" s="28">
        <f>IF(AND(ISNUMBER(SEARCH("Lunch",$C201)),$D201="Asian"),RAND(),"")</f>
        <v/>
      </c>
      <c r="K201" s="28">
        <f>IF(AND(ISNUMBER(SEARCH("Lunch",$C201)),$D201="Chinese"),RAND(),"")</f>
        <v/>
      </c>
      <c r="L201" s="28">
        <f>IF(AND(ISNUMBER(SEARCH("Lunch",$C201)),$D201="Western"),RAND(),"")</f>
        <v/>
      </c>
      <c r="M201" s="28">
        <f>IF(AND(ISNUMBER(SEARCH("Dinner",$C201)),$D201="Asian"),RAND(),"")</f>
        <v/>
      </c>
      <c r="N201" s="28">
        <f>IF(AND(ISNUMBER(SEARCH("Dinner",$C201)),$D201="Chinese"),RAND(),"")</f>
        <v/>
      </c>
      <c r="O201" s="28">
        <f>IF(AND(ISNUMBER(SEARCH("Dinner",$C201)),$D201="Western"),RAND(),"")</f>
        <v/>
      </c>
    </row>
    <row r="202" ht="15.75" customHeight="1" s="36">
      <c r="A202" s="18" t="inlineStr">
        <is>
          <t>IKEA Meatballs</t>
        </is>
      </c>
      <c r="B202" s="18" t="inlineStr">
        <is>
          <t>—</t>
        </is>
      </c>
      <c r="C202" s="17" t="inlineStr">
        <is>
          <t>Lunch</t>
        </is>
      </c>
      <c r="D202" s="30" t="inlineStr">
        <is>
          <t>Western</t>
        </is>
      </c>
      <c r="E202" s="17" t="inlineStr">
        <is>
          <t>Med</t>
        </is>
      </c>
      <c r="F202" s="18" t="n"/>
      <c r="G202" s="27">
        <f>IF(AND(ISNUMBER(SEARCH("Breakfast",$C202)),$D202="Asian"),RAND(),"")</f>
        <v/>
      </c>
      <c r="H202" s="27">
        <f>IF(AND(ISNUMBER(SEARCH("Breakfast",$C202)),$D202="Chinese"),RAND(),"")</f>
        <v/>
      </c>
      <c r="I202" s="27">
        <f>IF(AND(ISNUMBER(SEARCH("Breakfast",$C202)),$D202="Western"),RAND(),"")</f>
        <v/>
      </c>
      <c r="J202" s="27">
        <f>IF(AND(ISNUMBER(SEARCH("Lunch",$C202)),$D202="Asian"),RAND(),"")</f>
        <v/>
      </c>
      <c r="K202" s="27">
        <f>IF(AND(ISNUMBER(SEARCH("Lunch",$C202)),$D202="Chinese"),RAND(),"")</f>
        <v/>
      </c>
      <c r="L202" s="27">
        <f>IF(AND(ISNUMBER(SEARCH("Lunch",$C202)),$D202="Western"),RAND(),"")</f>
        <v/>
      </c>
      <c r="M202" s="27">
        <f>IF(AND(ISNUMBER(SEARCH("Dinner",$C202)),$D202="Asian"),RAND(),"")</f>
        <v/>
      </c>
      <c r="N202" s="27">
        <f>IF(AND(ISNUMBER(SEARCH("Dinner",$C202)),$D202="Chinese"),RAND(),"")</f>
        <v/>
      </c>
      <c r="O202" s="27">
        <f>IF(AND(ISNUMBER(SEARCH("Dinner",$C202)),$D202="Western"),RAND(),"")</f>
        <v/>
      </c>
    </row>
    <row r="203" ht="15.75" customHeight="1" s="36">
      <c r="A203" s="22" t="inlineStr">
        <is>
          <t>Italian power bowl</t>
        </is>
      </c>
      <c r="B203" s="22" t="inlineStr">
        <is>
          <t>Orange, Honey, Olive Oil, Pistachios, Red Cabbage, Salt, Vinegar, Egg, Barley</t>
        </is>
      </c>
      <c r="C203" s="21" t="inlineStr">
        <is>
          <t>Dinner</t>
        </is>
      </c>
      <c r="D203" s="33" t="inlineStr">
        <is>
          <t>Western</t>
        </is>
      </c>
      <c r="E203" s="21" t="inlineStr">
        <is>
          <t>Low</t>
        </is>
      </c>
      <c r="F203" s="23" t="inlineStr">
        <is>
          <t>https://www.kitchenstories.com/en/recipes/italian-power-bowl</t>
        </is>
      </c>
      <c r="G203" s="28">
        <f>IF(AND(ISNUMBER(SEARCH("Breakfast",$C203)),$D203="Asian"),RAND(),"")</f>
        <v/>
      </c>
      <c r="H203" s="28">
        <f>IF(AND(ISNUMBER(SEARCH("Breakfast",$C203)),$D203="Chinese"),RAND(),"")</f>
        <v/>
      </c>
      <c r="I203" s="28">
        <f>IF(AND(ISNUMBER(SEARCH("Breakfast",$C203)),$D203="Western"),RAND(),"")</f>
        <v/>
      </c>
      <c r="J203" s="28">
        <f>IF(AND(ISNUMBER(SEARCH("Lunch",$C203)),$D203="Asian"),RAND(),"")</f>
        <v/>
      </c>
      <c r="K203" s="28">
        <f>IF(AND(ISNUMBER(SEARCH("Lunch",$C203)),$D203="Chinese"),RAND(),"")</f>
        <v/>
      </c>
      <c r="L203" s="28">
        <f>IF(AND(ISNUMBER(SEARCH("Lunch",$C203)),$D203="Western"),RAND(),"")</f>
        <v/>
      </c>
      <c r="M203" s="28">
        <f>IF(AND(ISNUMBER(SEARCH("Dinner",$C203)),$D203="Asian"),RAND(),"")</f>
        <v/>
      </c>
      <c r="N203" s="28">
        <f>IF(AND(ISNUMBER(SEARCH("Dinner",$C203)),$D203="Chinese"),RAND(),"")</f>
        <v/>
      </c>
      <c r="O203" s="28">
        <f>IF(AND(ISNUMBER(SEARCH("Dinner",$C203)),$D203="Western"),RAND(),"")</f>
        <v/>
      </c>
    </row>
    <row r="204" ht="15.75" customHeight="1" s="36">
      <c r="A204" s="18" t="inlineStr">
        <is>
          <t>Jammy eggs</t>
        </is>
      </c>
      <c r="B204" s="18" t="inlineStr">
        <is>
          <t>Eggs, Kale, Coconut milk, Shallot, Green chilli, Ginger, Parsley, Coconut oil, Honey, Lime</t>
        </is>
      </c>
      <c r="C204" s="17" t="inlineStr">
        <is>
          <t>Lunch</t>
        </is>
      </c>
      <c r="D204" s="33" t="inlineStr">
        <is>
          <t>Western</t>
        </is>
      </c>
      <c r="E204" s="17" t="inlineStr">
        <is>
          <t>Low</t>
        </is>
      </c>
      <c r="F204" s="18" t="n"/>
      <c r="G204" s="27">
        <f>IF(AND(ISNUMBER(SEARCH("Breakfast",$C204)),$D204="Asian"),RAND(),"")</f>
        <v/>
      </c>
      <c r="H204" s="27">
        <f>IF(AND(ISNUMBER(SEARCH("Breakfast",$C204)),$D204="Chinese"),RAND(),"")</f>
        <v/>
      </c>
      <c r="I204" s="27">
        <f>IF(AND(ISNUMBER(SEARCH("Breakfast",$C204)),$D204="Western"),RAND(),"")</f>
        <v/>
      </c>
      <c r="J204" s="27">
        <f>IF(AND(ISNUMBER(SEARCH("Lunch",$C204)),$D204="Asian"),RAND(),"")</f>
        <v/>
      </c>
      <c r="K204" s="27">
        <f>IF(AND(ISNUMBER(SEARCH("Lunch",$C204)),$D204="Chinese"),RAND(),"")</f>
        <v/>
      </c>
      <c r="L204" s="27">
        <f>IF(AND(ISNUMBER(SEARCH("Lunch",$C204)),$D204="Western"),RAND(),"")</f>
        <v/>
      </c>
      <c r="M204" s="27">
        <f>IF(AND(ISNUMBER(SEARCH("Dinner",$C204)),$D204="Asian"),RAND(),"")</f>
        <v/>
      </c>
      <c r="N204" s="27">
        <f>IF(AND(ISNUMBER(SEARCH("Dinner",$C204)),$D204="Chinese"),RAND(),"")</f>
        <v/>
      </c>
      <c r="O204" s="27">
        <f>IF(AND(ISNUMBER(SEARCH("Dinner",$C204)),$D204="Western"),RAND(),"")</f>
        <v/>
      </c>
    </row>
    <row r="205" ht="15.75" customHeight="1" s="36">
      <c r="A205" s="22" t="inlineStr">
        <is>
          <t>Japanese Hamburger</t>
        </is>
      </c>
      <c r="B205" s="22" t="inlineStr">
        <is>
          <t>Onion, Ground Pork, Nutmeg Powder, Panko, MIlk, Egg, Unsalted Butter, Ketchup, Tonkatsu Sauce, Red Wine</t>
        </is>
      </c>
      <c r="C205" s="21" t="inlineStr">
        <is>
          <t>Dinner</t>
        </is>
      </c>
      <c r="D205" s="29" t="inlineStr">
        <is>
          <t>Asian</t>
        </is>
      </c>
      <c r="E205" s="21" t="inlineStr">
        <is>
          <t>Med</t>
        </is>
      </c>
      <c r="F205" s="23" t="inlineStr">
        <is>
          <t>https://youtu.be/koDdjLFQt8U</t>
        </is>
      </c>
      <c r="G205" s="28">
        <f>IF(AND(ISNUMBER(SEARCH("Breakfast",$C205)),$D205="Asian"),RAND(),"")</f>
        <v/>
      </c>
      <c r="H205" s="28">
        <f>IF(AND(ISNUMBER(SEARCH("Breakfast",$C205)),$D205="Chinese"),RAND(),"")</f>
        <v/>
      </c>
      <c r="I205" s="28">
        <f>IF(AND(ISNUMBER(SEARCH("Breakfast",$C205)),$D205="Western"),RAND(),"")</f>
        <v/>
      </c>
      <c r="J205" s="28">
        <f>IF(AND(ISNUMBER(SEARCH("Lunch",$C205)),$D205="Asian"),RAND(),"")</f>
        <v/>
      </c>
      <c r="K205" s="28">
        <f>IF(AND(ISNUMBER(SEARCH("Lunch",$C205)),$D205="Chinese"),RAND(),"")</f>
        <v/>
      </c>
      <c r="L205" s="28">
        <f>IF(AND(ISNUMBER(SEARCH("Lunch",$C205)),$D205="Western"),RAND(),"")</f>
        <v/>
      </c>
      <c r="M205" s="28">
        <f>IF(AND(ISNUMBER(SEARCH("Dinner",$C205)),$D205="Asian"),RAND(),"")</f>
        <v/>
      </c>
      <c r="N205" s="28">
        <f>IF(AND(ISNUMBER(SEARCH("Dinner",$C205)),$D205="Chinese"),RAND(),"")</f>
        <v/>
      </c>
      <c r="O205" s="28">
        <f>IF(AND(ISNUMBER(SEARCH("Dinner",$C205)),$D205="Western"),RAND(),"")</f>
        <v/>
      </c>
    </row>
    <row r="206" ht="15.75" customHeight="1" s="36">
      <c r="A206" s="18" t="inlineStr">
        <is>
          <t>Japanese Lemon Cold Noodles</t>
        </is>
      </c>
      <c r="B206" s="18" t="inlineStr">
        <is>
          <t>Somen, 酢橘, yuzu Ponzu sauce</t>
        </is>
      </c>
      <c r="C206" s="17" t="inlineStr">
        <is>
          <t>Lunch</t>
        </is>
      </c>
      <c r="D206" s="29" t="inlineStr">
        <is>
          <t>Asian</t>
        </is>
      </c>
      <c r="E206" s="17" t="inlineStr">
        <is>
          <t>High</t>
        </is>
      </c>
      <c r="F206" s="19" t="inlineStr">
        <is>
          <t>https://www.instagram.com/reel/DPyqwqHEsDg/?utm_source=ig_web_button_share_sheet</t>
        </is>
      </c>
      <c r="G206" s="27">
        <f>IF(AND(ISNUMBER(SEARCH("Breakfast",$C206)),$D206="Asian"),RAND(),"")</f>
        <v/>
      </c>
      <c r="H206" s="27">
        <f>IF(AND(ISNUMBER(SEARCH("Breakfast",$C206)),$D206="Chinese"),RAND(),"")</f>
        <v/>
      </c>
      <c r="I206" s="27">
        <f>IF(AND(ISNUMBER(SEARCH("Breakfast",$C206)),$D206="Western"),RAND(),"")</f>
        <v/>
      </c>
      <c r="J206" s="27">
        <f>IF(AND(ISNUMBER(SEARCH("Lunch",$C206)),$D206="Asian"),RAND(),"")</f>
        <v/>
      </c>
      <c r="K206" s="27">
        <f>IF(AND(ISNUMBER(SEARCH("Lunch",$C206)),$D206="Chinese"),RAND(),"")</f>
        <v/>
      </c>
      <c r="L206" s="27">
        <f>IF(AND(ISNUMBER(SEARCH("Lunch",$C206)),$D206="Western"),RAND(),"")</f>
        <v/>
      </c>
      <c r="M206" s="27">
        <f>IF(AND(ISNUMBER(SEARCH("Dinner",$C206)),$D206="Asian"),RAND(),"")</f>
        <v/>
      </c>
      <c r="N206" s="27">
        <f>IF(AND(ISNUMBER(SEARCH("Dinner",$C206)),$D206="Chinese"),RAND(),"")</f>
        <v/>
      </c>
      <c r="O206" s="27">
        <f>IF(AND(ISNUMBER(SEARCH("Dinner",$C206)),$D206="Western"),RAND(),"")</f>
        <v/>
      </c>
    </row>
    <row r="207" ht="15.75" customHeight="1" s="36">
      <c r="A207" s="22" t="inlineStr">
        <is>
          <t>Japanese Salad</t>
        </is>
      </c>
      <c r="B207" s="22" t="inlineStr">
        <is>
          <t>Salted Kombu, Cucumber, Hard Tofu, Octopus, Sesame Oil, Sesame Seed, Pinenut, Soy Sauce, Miso, Egg</t>
        </is>
      </c>
      <c r="C207" s="21" t="inlineStr">
        <is>
          <t>Lunch</t>
        </is>
      </c>
      <c r="D207" s="29" t="inlineStr">
        <is>
          <t>Asian</t>
        </is>
      </c>
      <c r="E207" s="21" t="inlineStr">
        <is>
          <t>Med</t>
        </is>
      </c>
      <c r="F207" s="23" t="inlineStr">
        <is>
          <t>https://www.instagram.com/reel/DM-PlypzOhp/?utm_source=ig_web_button_share_sheet</t>
        </is>
      </c>
      <c r="G207" s="28">
        <f>IF(AND(ISNUMBER(SEARCH("Breakfast",$C207)),$D207="Asian"),RAND(),"")</f>
        <v/>
      </c>
      <c r="H207" s="28">
        <f>IF(AND(ISNUMBER(SEARCH("Breakfast",$C207)),$D207="Chinese"),RAND(),"")</f>
        <v/>
      </c>
      <c r="I207" s="28">
        <f>IF(AND(ISNUMBER(SEARCH("Breakfast",$C207)),$D207="Western"),RAND(),"")</f>
        <v/>
      </c>
      <c r="J207" s="28">
        <f>IF(AND(ISNUMBER(SEARCH("Lunch",$C207)),$D207="Asian"),RAND(),"")</f>
        <v/>
      </c>
      <c r="K207" s="28">
        <f>IF(AND(ISNUMBER(SEARCH("Lunch",$C207)),$D207="Chinese"),RAND(),"")</f>
        <v/>
      </c>
      <c r="L207" s="28">
        <f>IF(AND(ISNUMBER(SEARCH("Lunch",$C207)),$D207="Western"),RAND(),"")</f>
        <v/>
      </c>
      <c r="M207" s="28">
        <f>IF(AND(ISNUMBER(SEARCH("Dinner",$C207)),$D207="Asian"),RAND(),"")</f>
        <v/>
      </c>
      <c r="N207" s="28">
        <f>IF(AND(ISNUMBER(SEARCH("Dinner",$C207)),$D207="Chinese"),RAND(),"")</f>
        <v/>
      </c>
      <c r="O207" s="28">
        <f>IF(AND(ISNUMBER(SEARCH("Dinner",$C207)),$D207="Western"),RAND(),"")</f>
        <v/>
      </c>
    </row>
    <row r="208" ht="15.75" customHeight="1" s="36">
      <c r="A208" s="18" t="inlineStr">
        <is>
          <t>Japchae</t>
        </is>
      </c>
      <c r="B208" s="18" t="inlineStr">
        <is>
          <t>Glass Noodle, Pork Strips, Carrots, Onion, Spinach, Garlic, Soy sauce, Sesame Oil, Mirin, Honey, Sesame Seed</t>
        </is>
      </c>
      <c r="C208" s="17" t="inlineStr">
        <is>
          <t>Lunch</t>
        </is>
      </c>
      <c r="D208" s="29" t="inlineStr">
        <is>
          <t>Asian</t>
        </is>
      </c>
      <c r="E208" s="17" t="inlineStr">
        <is>
          <t>High</t>
        </is>
      </c>
      <c r="F208" s="19" t="inlineStr">
        <is>
          <t>https://www.cafemaddy.com/blog/japchae</t>
        </is>
      </c>
      <c r="G208" s="27">
        <f>IF(AND(ISNUMBER(SEARCH("Breakfast",$C208)),$D208="Asian"),RAND(),"")</f>
        <v/>
      </c>
      <c r="H208" s="27">
        <f>IF(AND(ISNUMBER(SEARCH("Breakfast",$C208)),$D208="Chinese"),RAND(),"")</f>
        <v/>
      </c>
      <c r="I208" s="27">
        <f>IF(AND(ISNUMBER(SEARCH("Breakfast",$C208)),$D208="Western"),RAND(),"")</f>
        <v/>
      </c>
      <c r="J208" s="27">
        <f>IF(AND(ISNUMBER(SEARCH("Lunch",$C208)),$D208="Asian"),RAND(),"")</f>
        <v/>
      </c>
      <c r="K208" s="27">
        <f>IF(AND(ISNUMBER(SEARCH("Lunch",$C208)),$D208="Chinese"),RAND(),"")</f>
        <v/>
      </c>
      <c r="L208" s="27">
        <f>IF(AND(ISNUMBER(SEARCH("Lunch",$C208)),$D208="Western"),RAND(),"")</f>
        <v/>
      </c>
      <c r="M208" s="27">
        <f>IF(AND(ISNUMBER(SEARCH("Dinner",$C208)),$D208="Asian"),RAND(),"")</f>
        <v/>
      </c>
      <c r="N208" s="27">
        <f>IF(AND(ISNUMBER(SEARCH("Dinner",$C208)),$D208="Chinese"),RAND(),"")</f>
        <v/>
      </c>
      <c r="O208" s="27">
        <f>IF(AND(ISNUMBER(SEARCH("Dinner",$C208)),$D208="Western"),RAND(),"")</f>
        <v/>
      </c>
    </row>
    <row r="209" ht="15.75" customHeight="1" s="36">
      <c r="A209" s="22" t="inlineStr">
        <is>
          <t>Jim Dak</t>
        </is>
      </c>
      <c r="B209" s="22" t="inlineStr">
        <is>
          <t>Sweet Potato, Potato, Carrots, Garlic, Onion, Chicken Thigh, Soy Sauce, Sugar, Minced Garlic, Mirin, Sesame Oil, Ginger, Green Onion, Glass Noodles</t>
        </is>
      </c>
      <c r="C209" s="21" t="inlineStr">
        <is>
          <t>Dinner</t>
        </is>
      </c>
      <c r="D209" s="29" t="inlineStr">
        <is>
          <t>Asian</t>
        </is>
      </c>
      <c r="E209" s="21" t="inlineStr">
        <is>
          <t>Med</t>
        </is>
      </c>
      <c r="F209" s="23" t="inlineStr">
        <is>
          <t>https://youtu.be/_n9sA-03Oos?si=PsVxNQEBsIpkOCGo</t>
        </is>
      </c>
      <c r="G209" s="28">
        <f>IF(AND(ISNUMBER(SEARCH("Breakfast",$C209)),$D209="Asian"),RAND(),"")</f>
        <v/>
      </c>
      <c r="H209" s="28">
        <f>IF(AND(ISNUMBER(SEARCH("Breakfast",$C209)),$D209="Chinese"),RAND(),"")</f>
        <v/>
      </c>
      <c r="I209" s="28">
        <f>IF(AND(ISNUMBER(SEARCH("Breakfast",$C209)),$D209="Western"),RAND(),"")</f>
        <v/>
      </c>
      <c r="J209" s="28">
        <f>IF(AND(ISNUMBER(SEARCH("Lunch",$C209)),$D209="Asian"),RAND(),"")</f>
        <v/>
      </c>
      <c r="K209" s="28">
        <f>IF(AND(ISNUMBER(SEARCH("Lunch",$C209)),$D209="Chinese"),RAND(),"")</f>
        <v/>
      </c>
      <c r="L209" s="28">
        <f>IF(AND(ISNUMBER(SEARCH("Lunch",$C209)),$D209="Western"),RAND(),"")</f>
        <v/>
      </c>
      <c r="M209" s="28">
        <f>IF(AND(ISNUMBER(SEARCH("Dinner",$C209)),$D209="Asian"),RAND(),"")</f>
        <v/>
      </c>
      <c r="N209" s="28">
        <f>IF(AND(ISNUMBER(SEARCH("Dinner",$C209)),$D209="Chinese"),RAND(),"")</f>
        <v/>
      </c>
      <c r="O209" s="28">
        <f>IF(AND(ISNUMBER(SEARCH("Dinner",$C209)),$D209="Western"),RAND(),"")</f>
        <v/>
      </c>
    </row>
    <row r="210" ht="15.75" customHeight="1" s="36">
      <c r="A210" s="18" t="inlineStr">
        <is>
          <t>Kale salad</t>
        </is>
      </c>
      <c r="B210" s="18" t="inlineStr">
        <is>
          <t>Kale</t>
        </is>
      </c>
      <c r="C210" s="17" t="inlineStr">
        <is>
          <t>Dinner</t>
        </is>
      </c>
      <c r="D210" s="30" t="inlineStr">
        <is>
          <t>Western</t>
        </is>
      </c>
      <c r="E210" s="17" t="inlineStr">
        <is>
          <t>Med</t>
        </is>
      </c>
      <c r="F210" s="19" t="inlineStr">
        <is>
          <t>https://www.twopeasandtheirpod.com/sweet-potato-kale-salad/</t>
        </is>
      </c>
      <c r="G210" s="27">
        <f>IF(AND(ISNUMBER(SEARCH("Breakfast",$C210)),$D210="Asian"),RAND(),"")</f>
        <v/>
      </c>
      <c r="H210" s="27">
        <f>IF(AND(ISNUMBER(SEARCH("Breakfast",$C210)),$D210="Chinese"),RAND(),"")</f>
        <v/>
      </c>
      <c r="I210" s="27">
        <f>IF(AND(ISNUMBER(SEARCH("Breakfast",$C210)),$D210="Western"),RAND(),"")</f>
        <v/>
      </c>
      <c r="J210" s="27">
        <f>IF(AND(ISNUMBER(SEARCH("Lunch",$C210)),$D210="Asian"),RAND(),"")</f>
        <v/>
      </c>
      <c r="K210" s="27">
        <f>IF(AND(ISNUMBER(SEARCH("Lunch",$C210)),$D210="Chinese"),RAND(),"")</f>
        <v/>
      </c>
      <c r="L210" s="27">
        <f>IF(AND(ISNUMBER(SEARCH("Lunch",$C210)),$D210="Western"),RAND(),"")</f>
        <v/>
      </c>
      <c r="M210" s="27">
        <f>IF(AND(ISNUMBER(SEARCH("Dinner",$C210)),$D210="Asian"),RAND(),"")</f>
        <v/>
      </c>
      <c r="N210" s="27">
        <f>IF(AND(ISNUMBER(SEARCH("Dinner",$C210)),$D210="Chinese"),RAND(),"")</f>
        <v/>
      </c>
      <c r="O210" s="27">
        <f>IF(AND(ISNUMBER(SEARCH("Dinner",$C210)),$D210="Western"),RAND(),"")</f>
        <v/>
      </c>
    </row>
    <row r="211" ht="15.75" customHeight="1" s="36">
      <c r="A211" s="22" t="inlineStr">
        <is>
          <t>Ketchup</t>
        </is>
      </c>
      <c r="B211" s="22" t="inlineStr">
        <is>
          <t>Sake, Onion, Garlic, Ground beef, Chilli powder, Tomato, Lettuce, Cheese</t>
        </is>
      </c>
      <c r="C211" s="21" t="inlineStr">
        <is>
          <t>Dinner</t>
        </is>
      </c>
      <c r="D211" s="29" t="inlineStr">
        <is>
          <t>Asian</t>
        </is>
      </c>
      <c r="E211" s="21" t="inlineStr">
        <is>
          <t>Med</t>
        </is>
      </c>
      <c r="F211" s="23" t="inlineStr">
        <is>
          <t>https://youtu.be/WgEewDr6Vbg</t>
        </is>
      </c>
      <c r="G211" s="28">
        <f>IF(AND(ISNUMBER(SEARCH("Breakfast",$C211)),$D211="Asian"),RAND(),"")</f>
        <v/>
      </c>
      <c r="H211" s="28">
        <f>IF(AND(ISNUMBER(SEARCH("Breakfast",$C211)),$D211="Chinese"),RAND(),"")</f>
        <v/>
      </c>
      <c r="I211" s="28">
        <f>IF(AND(ISNUMBER(SEARCH("Breakfast",$C211)),$D211="Western"),RAND(),"")</f>
        <v/>
      </c>
      <c r="J211" s="28">
        <f>IF(AND(ISNUMBER(SEARCH("Lunch",$C211)),$D211="Asian"),RAND(),"")</f>
        <v/>
      </c>
      <c r="K211" s="28">
        <f>IF(AND(ISNUMBER(SEARCH("Lunch",$C211)),$D211="Chinese"),RAND(),"")</f>
        <v/>
      </c>
      <c r="L211" s="28">
        <f>IF(AND(ISNUMBER(SEARCH("Lunch",$C211)),$D211="Western"),RAND(),"")</f>
        <v/>
      </c>
      <c r="M211" s="28">
        <f>IF(AND(ISNUMBER(SEARCH("Dinner",$C211)),$D211="Asian"),RAND(),"")</f>
        <v/>
      </c>
      <c r="N211" s="28">
        <f>IF(AND(ISNUMBER(SEARCH("Dinner",$C211)),$D211="Chinese"),RAND(),"")</f>
        <v/>
      </c>
      <c r="O211" s="28">
        <f>IF(AND(ISNUMBER(SEARCH("Dinner",$C211)),$D211="Western"),RAND(),"")</f>
        <v/>
      </c>
    </row>
    <row r="212" ht="15.75" customHeight="1" s="36">
      <c r="A212" s="18" t="inlineStr">
        <is>
          <t>Korean Beef Soup</t>
        </is>
      </c>
      <c r="B212" s="18" t="inlineStr">
        <is>
          <t>Beef strips, Daikon, Fish Sauce, Garlic, Green Onion</t>
        </is>
      </c>
      <c r="C212" s="17" t="inlineStr">
        <is>
          <t>Dinner</t>
        </is>
      </c>
      <c r="D212" s="29" t="inlineStr">
        <is>
          <t>Asian</t>
        </is>
      </c>
      <c r="E212" s="17" t="inlineStr">
        <is>
          <t>High</t>
        </is>
      </c>
      <c r="F212" s="19" t="inlineStr">
        <is>
          <t>https://youtu.be/NefPocSaeDU</t>
        </is>
      </c>
      <c r="G212" s="27">
        <f>IF(AND(ISNUMBER(SEARCH("Breakfast",$C212)),$D212="Asian"),RAND(),"")</f>
        <v/>
      </c>
      <c r="H212" s="27">
        <f>IF(AND(ISNUMBER(SEARCH("Breakfast",$C212)),$D212="Chinese"),RAND(),"")</f>
        <v/>
      </c>
      <c r="I212" s="27">
        <f>IF(AND(ISNUMBER(SEARCH("Breakfast",$C212)),$D212="Western"),RAND(),"")</f>
        <v/>
      </c>
      <c r="J212" s="27">
        <f>IF(AND(ISNUMBER(SEARCH("Lunch",$C212)),$D212="Asian"),RAND(),"")</f>
        <v/>
      </c>
      <c r="K212" s="27">
        <f>IF(AND(ISNUMBER(SEARCH("Lunch",$C212)),$D212="Chinese"),RAND(),"")</f>
        <v/>
      </c>
      <c r="L212" s="27">
        <f>IF(AND(ISNUMBER(SEARCH("Lunch",$C212)),$D212="Western"),RAND(),"")</f>
        <v/>
      </c>
      <c r="M212" s="27">
        <f>IF(AND(ISNUMBER(SEARCH("Dinner",$C212)),$D212="Asian"),RAND(),"")</f>
        <v/>
      </c>
      <c r="N212" s="27">
        <f>IF(AND(ISNUMBER(SEARCH("Dinner",$C212)),$D212="Chinese"),RAND(),"")</f>
        <v/>
      </c>
      <c r="O212" s="27">
        <f>IF(AND(ISNUMBER(SEARCH("Dinner",$C212)),$D212="Western"),RAND(),"")</f>
        <v/>
      </c>
      <c r="P212" s="0" t="b">
        <v>1</v>
      </c>
    </row>
    <row r="213" ht="15.75" customHeight="1" s="36">
      <c r="A213" s="22" t="inlineStr">
        <is>
          <t>Korean Braised Meat</t>
        </is>
      </c>
      <c r="B213" s="32" t="inlineStr">
        <is>
          <t>五花肉, Soy Sauce, 6 Yakult, Gochujang, Egg, 生菜</t>
        </is>
      </c>
      <c r="C213" s="21" t="inlineStr">
        <is>
          <t>Dinner</t>
        </is>
      </c>
      <c r="D213" s="26" t="inlineStr">
        <is>
          <t>Chinese</t>
        </is>
      </c>
      <c r="E213" s="21" t="inlineStr">
        <is>
          <t>Med</t>
        </is>
      </c>
      <c r="F213" s="23" t="inlineStr">
        <is>
          <t>https://www.instagram.com/reel/C7ynJ_ipYly/?igsh=MXh1cWx1MWVhM2NiNw==</t>
        </is>
      </c>
      <c r="G213" s="28">
        <f>IF(AND(ISNUMBER(SEARCH("Breakfast",$C213)),$D213="Asian"),RAND(),"")</f>
        <v/>
      </c>
      <c r="H213" s="28">
        <f>IF(AND(ISNUMBER(SEARCH("Breakfast",$C213)),$D213="Chinese"),RAND(),"")</f>
        <v/>
      </c>
      <c r="I213" s="28">
        <f>IF(AND(ISNUMBER(SEARCH("Breakfast",$C213)),$D213="Western"),RAND(),"")</f>
        <v/>
      </c>
      <c r="J213" s="28">
        <f>IF(AND(ISNUMBER(SEARCH("Lunch",$C213)),$D213="Asian"),RAND(),"")</f>
        <v/>
      </c>
      <c r="K213" s="28">
        <f>IF(AND(ISNUMBER(SEARCH("Lunch",$C213)),$D213="Chinese"),RAND(),"")</f>
        <v/>
      </c>
      <c r="L213" s="28">
        <f>IF(AND(ISNUMBER(SEARCH("Lunch",$C213)),$D213="Western"),RAND(),"")</f>
        <v/>
      </c>
      <c r="M213" s="28">
        <f>IF(AND(ISNUMBER(SEARCH("Dinner",$C213)),$D213="Asian"),RAND(),"")</f>
        <v/>
      </c>
      <c r="N213" s="28">
        <f>IF(AND(ISNUMBER(SEARCH("Dinner",$C213)),$D213="Chinese"),RAND(),"")</f>
        <v/>
      </c>
      <c r="O213" s="28">
        <f>IF(AND(ISNUMBER(SEARCH("Dinner",$C213)),$D213="Western"),RAND(),"")</f>
        <v/>
      </c>
    </row>
    <row r="214" ht="15.75" customHeight="1" s="36">
      <c r="A214" s="18" t="inlineStr">
        <is>
          <t>Korean Chicken Pajeon</t>
        </is>
      </c>
      <c r="B214" s="18" t="inlineStr">
        <is>
          <t>Scallion, Corn Starch, Potato Starrch, Chicken Thigh, Milk, Garlic, Soy sauce, Honey</t>
        </is>
      </c>
      <c r="C214" s="17" t="inlineStr">
        <is>
          <t>Dinner</t>
        </is>
      </c>
      <c r="D214" s="29" t="inlineStr">
        <is>
          <t>Asian</t>
        </is>
      </c>
      <c r="E214" s="17" t="inlineStr">
        <is>
          <t>Med</t>
        </is>
      </c>
      <c r="F214" s="19" t="inlineStr">
        <is>
          <t>https://www.instagram.com/reel/DN2GhQ35i_m/?igsh=bXo5OW9nOTFsYmg2</t>
        </is>
      </c>
      <c r="G214" s="27">
        <f>IF(AND(ISNUMBER(SEARCH("Breakfast",$C214)),$D214="Asian"),RAND(),"")</f>
        <v/>
      </c>
      <c r="H214" s="27">
        <f>IF(AND(ISNUMBER(SEARCH("Breakfast",$C214)),$D214="Chinese"),RAND(),"")</f>
        <v/>
      </c>
      <c r="I214" s="27">
        <f>IF(AND(ISNUMBER(SEARCH("Breakfast",$C214)),$D214="Western"),RAND(),"")</f>
        <v/>
      </c>
      <c r="J214" s="27">
        <f>IF(AND(ISNUMBER(SEARCH("Lunch",$C214)),$D214="Asian"),RAND(),"")</f>
        <v/>
      </c>
      <c r="K214" s="27">
        <f>IF(AND(ISNUMBER(SEARCH("Lunch",$C214)),$D214="Chinese"),RAND(),"")</f>
        <v/>
      </c>
      <c r="L214" s="27">
        <f>IF(AND(ISNUMBER(SEARCH("Lunch",$C214)),$D214="Western"),RAND(),"")</f>
        <v/>
      </c>
      <c r="M214" s="27">
        <f>IF(AND(ISNUMBER(SEARCH("Dinner",$C214)),$D214="Asian"),RAND(),"")</f>
        <v/>
      </c>
      <c r="N214" s="27">
        <f>IF(AND(ISNUMBER(SEARCH("Dinner",$C214)),$D214="Chinese"),RAND(),"")</f>
        <v/>
      </c>
      <c r="O214" s="27">
        <f>IF(AND(ISNUMBER(SEARCH("Dinner",$C214)),$D214="Western"),RAND(),"")</f>
        <v/>
      </c>
    </row>
    <row r="215" ht="15.75" customHeight="1" s="36">
      <c r="A215" s="22" t="inlineStr">
        <is>
          <t>Korean Chicken Porridge</t>
        </is>
      </c>
      <c r="B215" s="22" t="inlineStr">
        <is>
          <t>Whole Chicken, Garlic, Spring Onion, Sesame Oil, Rice, Carrot, Zucchini, Onion, King Oyster Mushroom, Chicken Stock</t>
        </is>
      </c>
      <c r="C215" s="21" t="inlineStr">
        <is>
          <t>Lunch</t>
        </is>
      </c>
      <c r="D215" s="29" t="inlineStr">
        <is>
          <t>Asian</t>
        </is>
      </c>
      <c r="E215" s="21" t="inlineStr">
        <is>
          <t>Med</t>
        </is>
      </c>
      <c r="F215" s="23" t="inlineStr">
        <is>
          <t>https://www.instagram.com/reel/Cjih7V3vyxr/?utm_source=ig_web_button_share_sheet</t>
        </is>
      </c>
      <c r="G215" s="28">
        <f>IF(AND(ISNUMBER(SEARCH("Breakfast",$C215)),$D215="Asian"),RAND(),"")</f>
        <v/>
      </c>
      <c r="H215" s="28">
        <f>IF(AND(ISNUMBER(SEARCH("Breakfast",$C215)),$D215="Chinese"),RAND(),"")</f>
        <v/>
      </c>
      <c r="I215" s="28">
        <f>IF(AND(ISNUMBER(SEARCH("Breakfast",$C215)),$D215="Western"),RAND(),"")</f>
        <v/>
      </c>
      <c r="J215" s="28">
        <f>IF(AND(ISNUMBER(SEARCH("Lunch",$C215)),$D215="Asian"),RAND(),"")</f>
        <v/>
      </c>
      <c r="K215" s="28">
        <f>IF(AND(ISNUMBER(SEARCH("Lunch",$C215)),$D215="Chinese"),RAND(),"")</f>
        <v/>
      </c>
      <c r="L215" s="28">
        <f>IF(AND(ISNUMBER(SEARCH("Lunch",$C215)),$D215="Western"),RAND(),"")</f>
        <v/>
      </c>
      <c r="M215" s="28">
        <f>IF(AND(ISNUMBER(SEARCH("Dinner",$C215)),$D215="Asian"),RAND(),"")</f>
        <v/>
      </c>
      <c r="N215" s="28">
        <f>IF(AND(ISNUMBER(SEARCH("Dinner",$C215)),$D215="Chinese"),RAND(),"")</f>
        <v/>
      </c>
      <c r="O215" s="28">
        <f>IF(AND(ISNUMBER(SEARCH("Dinner",$C215)),$D215="Western"),RAND(),"")</f>
        <v/>
      </c>
    </row>
    <row r="216" ht="15.75" customHeight="1" s="36">
      <c r="A216" s="18" t="inlineStr">
        <is>
          <t>Korean Chicken Soup</t>
        </is>
      </c>
      <c r="B216" s="18" t="inlineStr">
        <is>
          <t>Chicken Thigh, Potato, Onion, Spring Onion, 烧酒, Chicken Bullion, Soy Sauce, Vinegar, Sugar, + Ginseng</t>
        </is>
      </c>
      <c r="C216" s="17" t="inlineStr">
        <is>
          <t>Dinner</t>
        </is>
      </c>
      <c r="D216" s="29" t="inlineStr">
        <is>
          <t>Asian</t>
        </is>
      </c>
      <c r="E216" s="17" t="inlineStr">
        <is>
          <t>Low</t>
        </is>
      </c>
      <c r="F216" s="19" t="inlineStr">
        <is>
          <t>https://www.instagram.com/reel/DJT7VFuyVAt/?igsh=MWxkd2czNW8yeDVpaA==</t>
        </is>
      </c>
      <c r="G216" s="27">
        <f>IF(AND(ISNUMBER(SEARCH("Breakfast",$C216)),$D216="Asian"),RAND(),"")</f>
        <v/>
      </c>
      <c r="H216" s="27">
        <f>IF(AND(ISNUMBER(SEARCH("Breakfast",$C216)),$D216="Chinese"),RAND(),"")</f>
        <v/>
      </c>
      <c r="I216" s="27">
        <f>IF(AND(ISNUMBER(SEARCH("Breakfast",$C216)),$D216="Western"),RAND(),"")</f>
        <v/>
      </c>
      <c r="J216" s="27">
        <f>IF(AND(ISNUMBER(SEARCH("Lunch",$C216)),$D216="Asian"),RAND(),"")</f>
        <v/>
      </c>
      <c r="K216" s="27">
        <f>IF(AND(ISNUMBER(SEARCH("Lunch",$C216)),$D216="Chinese"),RAND(),"")</f>
        <v/>
      </c>
      <c r="L216" s="27">
        <f>IF(AND(ISNUMBER(SEARCH("Lunch",$C216)),$D216="Western"),RAND(),"")</f>
        <v/>
      </c>
      <c r="M216" s="27">
        <f>IF(AND(ISNUMBER(SEARCH("Dinner",$C216)),$D216="Asian"),RAND(),"")</f>
        <v/>
      </c>
      <c r="N216" s="27">
        <f>IF(AND(ISNUMBER(SEARCH("Dinner",$C216)),$D216="Chinese"),RAND(),"")</f>
        <v/>
      </c>
      <c r="O216" s="27">
        <f>IF(AND(ISNUMBER(SEARCH("Dinner",$C216)),$D216="Western"),RAND(),"")</f>
        <v/>
      </c>
      <c r="P216" s="0" t="b">
        <v>1</v>
      </c>
    </row>
    <row r="217" ht="15.75" customHeight="1" s="36">
      <c r="A217" s="22" t="inlineStr">
        <is>
          <t>Korean Minced Meat</t>
        </is>
      </c>
      <c r="B217" s="22" t="inlineStr">
        <is>
          <t>Ground Pork, Onion, Garlic, Ginger, Gochujang, Soy Sauce, Maple Syrup, Sesame Oil, Sesame Seed</t>
        </is>
      </c>
      <c r="C217" s="21" t="inlineStr">
        <is>
          <t>Lunch</t>
        </is>
      </c>
      <c r="D217" s="29" t="inlineStr">
        <is>
          <t>Asian</t>
        </is>
      </c>
      <c r="E217" s="21" t="inlineStr">
        <is>
          <t>High</t>
        </is>
      </c>
      <c r="F217" s="23" t="inlineStr">
        <is>
          <t>https://www.slimmingeats.com/blog/korean-ground-pork</t>
        </is>
      </c>
      <c r="G217" s="28">
        <f>IF(AND(ISNUMBER(SEARCH("Breakfast",$C217)),$D217="Asian"),RAND(),"")</f>
        <v/>
      </c>
      <c r="H217" s="28">
        <f>IF(AND(ISNUMBER(SEARCH("Breakfast",$C217)),$D217="Chinese"),RAND(),"")</f>
        <v/>
      </c>
      <c r="I217" s="28">
        <f>IF(AND(ISNUMBER(SEARCH("Breakfast",$C217)),$D217="Western"),RAND(),"")</f>
        <v/>
      </c>
      <c r="J217" s="28">
        <f>IF(AND(ISNUMBER(SEARCH("Lunch",$C217)),$D217="Asian"),RAND(),"")</f>
        <v/>
      </c>
      <c r="K217" s="28">
        <f>IF(AND(ISNUMBER(SEARCH("Lunch",$C217)),$D217="Chinese"),RAND(),"")</f>
        <v/>
      </c>
      <c r="L217" s="28">
        <f>IF(AND(ISNUMBER(SEARCH("Lunch",$C217)),$D217="Western"),RAND(),"")</f>
        <v/>
      </c>
      <c r="M217" s="28">
        <f>IF(AND(ISNUMBER(SEARCH("Dinner",$C217)),$D217="Asian"),RAND(),"")</f>
        <v/>
      </c>
      <c r="N217" s="28">
        <f>IF(AND(ISNUMBER(SEARCH("Dinner",$C217)),$D217="Chinese"),RAND(),"")</f>
        <v/>
      </c>
      <c r="O217" s="28">
        <f>IF(AND(ISNUMBER(SEARCH("Dinner",$C217)),$D217="Western"),RAND(),"")</f>
        <v/>
      </c>
    </row>
    <row r="218" ht="15.75" customHeight="1" s="36">
      <c r="A218" s="18" t="inlineStr">
        <is>
          <t>Korean Miso Soup</t>
        </is>
      </c>
      <c r="B218" s="18" t="inlineStr">
        <is>
          <t>Korean Soybean Paste, Garlic, Onion, Potato, Zucchini, King Oyster Mushrooms, Tofu, Red Chilli Pepper</t>
        </is>
      </c>
      <c r="C218" s="17" t="inlineStr">
        <is>
          <t>Dinner</t>
        </is>
      </c>
      <c r="D218" s="29" t="inlineStr">
        <is>
          <t>Asian</t>
        </is>
      </c>
      <c r="E218" s="17" t="inlineStr">
        <is>
          <t>Med</t>
        </is>
      </c>
      <c r="F218" s="19" t="inlineStr">
        <is>
          <t>https://www.kitchenstories.com/en/recipes/korean-miso-soup-doenjang-jjigae-e5a9</t>
        </is>
      </c>
      <c r="G218" s="27">
        <f>IF(AND(ISNUMBER(SEARCH("Breakfast",$C218)),$D218="Asian"),RAND(),"")</f>
        <v/>
      </c>
      <c r="H218" s="27">
        <f>IF(AND(ISNUMBER(SEARCH("Breakfast",$C218)),$D218="Chinese"),RAND(),"")</f>
        <v/>
      </c>
      <c r="I218" s="27">
        <f>IF(AND(ISNUMBER(SEARCH("Breakfast",$C218)),$D218="Western"),RAND(),"")</f>
        <v/>
      </c>
      <c r="J218" s="27">
        <f>IF(AND(ISNUMBER(SEARCH("Lunch",$C218)),$D218="Asian"),RAND(),"")</f>
        <v/>
      </c>
      <c r="K218" s="27">
        <f>IF(AND(ISNUMBER(SEARCH("Lunch",$C218)),$D218="Chinese"),RAND(),"")</f>
        <v/>
      </c>
      <c r="L218" s="27">
        <f>IF(AND(ISNUMBER(SEARCH("Lunch",$C218)),$D218="Western"),RAND(),"")</f>
        <v/>
      </c>
      <c r="M218" s="27">
        <f>IF(AND(ISNUMBER(SEARCH("Dinner",$C218)),$D218="Asian"),RAND(),"")</f>
        <v/>
      </c>
      <c r="N218" s="27">
        <f>IF(AND(ISNUMBER(SEARCH("Dinner",$C218)),$D218="Chinese"),RAND(),"")</f>
        <v/>
      </c>
      <c r="O218" s="27">
        <f>IF(AND(ISNUMBER(SEARCH("Dinner",$C218)),$D218="Western"),RAND(),"")</f>
        <v/>
      </c>
      <c r="P218" s="0" t="b">
        <v>1</v>
      </c>
    </row>
    <row r="219" ht="15.75" customHeight="1" s="36">
      <c r="A219" s="22" t="inlineStr">
        <is>
          <t>Korean Mushroom Soup</t>
        </is>
      </c>
      <c r="B219" s="22" t="inlineStr">
        <is>
          <t>Assorted Mushroom, Beef Brisket, Onion, Garlic, Carrot, Sesame seeds, Glutinous rice flour, Green Onions, Fish Sauce</t>
        </is>
      </c>
      <c r="C219" s="21" t="inlineStr">
        <is>
          <t>Dinner</t>
        </is>
      </c>
      <c r="D219" s="29" t="inlineStr">
        <is>
          <t>Asian</t>
        </is>
      </c>
      <c r="E219" s="21" t="inlineStr">
        <is>
          <t>High</t>
        </is>
      </c>
      <c r="F219" s="23" t="inlineStr">
        <is>
          <t>https://youtu.be/tvHKfNRKVUk</t>
        </is>
      </c>
      <c r="G219" s="28">
        <f>IF(AND(ISNUMBER(SEARCH("Breakfast",$C219)),$D219="Asian"),RAND(),"")</f>
        <v/>
      </c>
      <c r="H219" s="28">
        <f>IF(AND(ISNUMBER(SEARCH("Breakfast",$C219)),$D219="Chinese"),RAND(),"")</f>
        <v/>
      </c>
      <c r="I219" s="28">
        <f>IF(AND(ISNUMBER(SEARCH("Breakfast",$C219)),$D219="Western"),RAND(),"")</f>
        <v/>
      </c>
      <c r="J219" s="28">
        <f>IF(AND(ISNUMBER(SEARCH("Lunch",$C219)),$D219="Asian"),RAND(),"")</f>
        <v/>
      </c>
      <c r="K219" s="28">
        <f>IF(AND(ISNUMBER(SEARCH("Lunch",$C219)),$D219="Chinese"),RAND(),"")</f>
        <v/>
      </c>
      <c r="L219" s="28">
        <f>IF(AND(ISNUMBER(SEARCH("Lunch",$C219)),$D219="Western"),RAND(),"")</f>
        <v/>
      </c>
      <c r="M219" s="28">
        <f>IF(AND(ISNUMBER(SEARCH("Dinner",$C219)),$D219="Asian"),RAND(),"")</f>
        <v/>
      </c>
      <c r="N219" s="28">
        <f>IF(AND(ISNUMBER(SEARCH("Dinner",$C219)),$D219="Chinese"),RAND(),"")</f>
        <v/>
      </c>
      <c r="O219" s="28">
        <f>IF(AND(ISNUMBER(SEARCH("Dinner",$C219)),$D219="Western"),RAND(),"")</f>
        <v/>
      </c>
      <c r="P219" s="0" t="b">
        <v>1</v>
      </c>
    </row>
    <row r="220" ht="15.75" customHeight="1" s="36">
      <c r="A220" s="18" t="inlineStr">
        <is>
          <t>Korean Pancake</t>
        </is>
      </c>
      <c r="B220" s="18" t="inlineStr">
        <is>
          <t>Potato, Soy Sauce, Lemon Juice, Rice vinegar, Chilli, Onion, Sugar</t>
        </is>
      </c>
      <c r="C220" s="17" t="inlineStr">
        <is>
          <t>Dinner</t>
        </is>
      </c>
      <c r="D220" s="30" t="inlineStr">
        <is>
          <t>Western</t>
        </is>
      </c>
      <c r="E220" s="17" t="inlineStr">
        <is>
          <t>Med</t>
        </is>
      </c>
      <c r="F220" s="19" t="inlineStr">
        <is>
          <t>https://youtu.be/dy-oXOeH2ZI</t>
        </is>
      </c>
      <c r="G220" s="27">
        <f>IF(AND(ISNUMBER(SEARCH("Breakfast",$C220)),$D220="Asian"),RAND(),"")</f>
        <v/>
      </c>
      <c r="H220" s="27">
        <f>IF(AND(ISNUMBER(SEARCH("Breakfast",$C220)),$D220="Chinese"),RAND(),"")</f>
        <v/>
      </c>
      <c r="I220" s="27">
        <f>IF(AND(ISNUMBER(SEARCH("Breakfast",$C220)),$D220="Western"),RAND(),"")</f>
        <v/>
      </c>
      <c r="J220" s="27">
        <f>IF(AND(ISNUMBER(SEARCH("Lunch",$C220)),$D220="Asian"),RAND(),"")</f>
        <v/>
      </c>
      <c r="K220" s="27">
        <f>IF(AND(ISNUMBER(SEARCH("Lunch",$C220)),$D220="Chinese"),RAND(),"")</f>
        <v/>
      </c>
      <c r="L220" s="27">
        <f>IF(AND(ISNUMBER(SEARCH("Lunch",$C220)),$D220="Western"),RAND(),"")</f>
        <v/>
      </c>
      <c r="M220" s="27">
        <f>IF(AND(ISNUMBER(SEARCH("Dinner",$C220)),$D220="Asian"),RAND(),"")</f>
        <v/>
      </c>
      <c r="N220" s="27">
        <f>IF(AND(ISNUMBER(SEARCH("Dinner",$C220)),$D220="Chinese"),RAND(),"")</f>
        <v/>
      </c>
      <c r="O220" s="27">
        <f>IF(AND(ISNUMBER(SEARCH("Dinner",$C220)),$D220="Western"),RAND(),"")</f>
        <v/>
      </c>
    </row>
    <row r="221" ht="15.75" customHeight="1" s="36">
      <c r="A221" s="22" t="inlineStr">
        <is>
          <t>Korean Potato Pancake</t>
        </is>
      </c>
      <c r="B221" s="22" t="inlineStr">
        <is>
          <t>Potato, Salt, Soy Sauce, Lemon Juice, Rice Vinegar, Chilli, Onion, Sugar</t>
        </is>
      </c>
      <c r="C221" s="21" t="inlineStr">
        <is>
          <t>Dinner</t>
        </is>
      </c>
      <c r="D221" s="30" t="inlineStr">
        <is>
          <t>Western</t>
        </is>
      </c>
      <c r="E221" s="21" t="inlineStr">
        <is>
          <t>Med</t>
        </is>
      </c>
      <c r="F221" s="23" t="inlineStr">
        <is>
          <t>https://youtu.be/dy-oXOeH2ZI?si=ReiiVQviIVgDmpVv</t>
        </is>
      </c>
      <c r="G221" s="28">
        <f>IF(AND(ISNUMBER(SEARCH("Breakfast",$C221)),$D221="Asian"),RAND(),"")</f>
        <v/>
      </c>
      <c r="H221" s="28">
        <f>IF(AND(ISNUMBER(SEARCH("Breakfast",$C221)),$D221="Chinese"),RAND(),"")</f>
        <v/>
      </c>
      <c r="I221" s="28">
        <f>IF(AND(ISNUMBER(SEARCH("Breakfast",$C221)),$D221="Western"),RAND(),"")</f>
        <v/>
      </c>
      <c r="J221" s="28">
        <f>IF(AND(ISNUMBER(SEARCH("Lunch",$C221)),$D221="Asian"),RAND(),"")</f>
        <v/>
      </c>
      <c r="K221" s="28">
        <f>IF(AND(ISNUMBER(SEARCH("Lunch",$C221)),$D221="Chinese"),RAND(),"")</f>
        <v/>
      </c>
      <c r="L221" s="28">
        <f>IF(AND(ISNUMBER(SEARCH("Lunch",$C221)),$D221="Western"),RAND(),"")</f>
        <v/>
      </c>
      <c r="M221" s="28">
        <f>IF(AND(ISNUMBER(SEARCH("Dinner",$C221)),$D221="Asian"),RAND(),"")</f>
        <v/>
      </c>
      <c r="N221" s="28">
        <f>IF(AND(ISNUMBER(SEARCH("Dinner",$C221)),$D221="Chinese"),RAND(),"")</f>
        <v/>
      </c>
      <c r="O221" s="28">
        <f>IF(AND(ISNUMBER(SEARCH("Dinner",$C221)),$D221="Western"),RAND(),"")</f>
        <v/>
      </c>
    </row>
    <row r="222" ht="15.75" customHeight="1" s="36">
      <c r="A222" s="18" t="inlineStr">
        <is>
          <t>Korean Soybean</t>
        </is>
      </c>
      <c r="B222" s="18" t="inlineStr">
        <is>
          <t>Soybeans, Soy Sauce, Sugar Syrup, Sesame Oil, Garlic, Sesame Seeds</t>
        </is>
      </c>
      <c r="C222" s="17" t="inlineStr">
        <is>
          <t>Dinner, Lunch</t>
        </is>
      </c>
      <c r="D222" s="29" t="inlineStr">
        <is>
          <t>Asian</t>
        </is>
      </c>
      <c r="E222" s="17" t="inlineStr">
        <is>
          <t>Med</t>
        </is>
      </c>
      <c r="F222" s="19" t="inlineStr">
        <is>
          <t>https://www.connoisseurusveg.com/kongjang-korean-simmered-soybeans/</t>
        </is>
      </c>
      <c r="G222" s="27">
        <f>IF(AND(ISNUMBER(SEARCH("Breakfast",$C222)),$D222="Asian"),RAND(),"")</f>
        <v/>
      </c>
      <c r="H222" s="27">
        <f>IF(AND(ISNUMBER(SEARCH("Breakfast",$C222)),$D222="Chinese"),RAND(),"")</f>
        <v/>
      </c>
      <c r="I222" s="27">
        <f>IF(AND(ISNUMBER(SEARCH("Breakfast",$C222)),$D222="Western"),RAND(),"")</f>
        <v/>
      </c>
      <c r="J222" s="27">
        <f>IF(AND(ISNUMBER(SEARCH("Lunch",$C222)),$D222="Asian"),RAND(),"")</f>
        <v/>
      </c>
      <c r="K222" s="27">
        <f>IF(AND(ISNUMBER(SEARCH("Lunch",$C222)),$D222="Chinese"),RAND(),"")</f>
        <v/>
      </c>
      <c r="L222" s="27">
        <f>IF(AND(ISNUMBER(SEARCH("Lunch",$C222)),$D222="Western"),RAND(),"")</f>
        <v/>
      </c>
      <c r="M222" s="27">
        <f>IF(AND(ISNUMBER(SEARCH("Dinner",$C222)),$D222="Asian"),RAND(),"")</f>
        <v/>
      </c>
      <c r="N222" s="27">
        <f>IF(AND(ISNUMBER(SEARCH("Dinner",$C222)),$D222="Chinese"),RAND(),"")</f>
        <v/>
      </c>
      <c r="O222" s="27">
        <f>IF(AND(ISNUMBER(SEARCH("Dinner",$C222)),$D222="Western"),RAND(),"")</f>
        <v/>
      </c>
    </row>
    <row r="223" ht="15.75" customHeight="1" s="36">
      <c r="A223" s="22" t="inlineStr">
        <is>
          <t>Kueh Salat</t>
        </is>
      </c>
      <c r="B223" s="22" t="inlineStr">
        <is>
          <t>Coconut cream, Pandan, Glutinous Rice, All purpose flour, Sugar, Eggs</t>
        </is>
      </c>
      <c r="C223" s="21" t="inlineStr">
        <is>
          <t>Breakfast</t>
        </is>
      </c>
      <c r="D223" s="29" t="inlineStr">
        <is>
          <t>Asian</t>
        </is>
      </c>
      <c r="E223" s="21" t="inlineStr">
        <is>
          <t>Med</t>
        </is>
      </c>
      <c r="F223" s="23" t="inlineStr">
        <is>
          <t>https://www.instagram.com/reel/DIqoRemPDQz/?igsh=Y2wxaDVxd3I1eTZ1</t>
        </is>
      </c>
      <c r="G223" s="28">
        <f>IF(AND(ISNUMBER(SEARCH("Breakfast",$C223)),$D223="Asian"),RAND(),"")</f>
        <v/>
      </c>
      <c r="H223" s="28">
        <f>IF(AND(ISNUMBER(SEARCH("Breakfast",$C223)),$D223="Chinese"),RAND(),"")</f>
        <v/>
      </c>
      <c r="I223" s="28">
        <f>IF(AND(ISNUMBER(SEARCH("Breakfast",$C223)),$D223="Western"),RAND(),"")</f>
        <v/>
      </c>
      <c r="J223" s="28">
        <f>IF(AND(ISNUMBER(SEARCH("Lunch",$C223)),$D223="Asian"),RAND(),"")</f>
        <v/>
      </c>
      <c r="K223" s="28">
        <f>IF(AND(ISNUMBER(SEARCH("Lunch",$C223)),$D223="Chinese"),RAND(),"")</f>
        <v/>
      </c>
      <c r="L223" s="28">
        <f>IF(AND(ISNUMBER(SEARCH("Lunch",$C223)),$D223="Western"),RAND(),"")</f>
        <v/>
      </c>
      <c r="M223" s="28">
        <f>IF(AND(ISNUMBER(SEARCH("Dinner",$C223)),$D223="Asian"),RAND(),"")</f>
        <v/>
      </c>
      <c r="N223" s="28">
        <f>IF(AND(ISNUMBER(SEARCH("Dinner",$C223)),$D223="Chinese"),RAND(),"")</f>
        <v/>
      </c>
      <c r="O223" s="28">
        <f>IF(AND(ISNUMBER(SEARCH("Dinner",$C223)),$D223="Western"),RAND(),"")</f>
        <v/>
      </c>
    </row>
    <row r="224" ht="15.75" customHeight="1" s="36">
      <c r="A224" s="18" t="inlineStr">
        <is>
          <t>Kungpao Chicken</t>
        </is>
      </c>
      <c r="B224" s="18" t="inlineStr">
        <is>
          <t>Chicken Thigh, Oyster Sauce, Light Soya Sauce, Corn Flour, Spring Onion, Onion, Shallot, Chilli, Dried Chilli, Peppercorn, Hula dial Wine, Sesame Oil, Black Vinegar, Ginger</t>
        </is>
      </c>
      <c r="C224" s="17" t="inlineStr">
        <is>
          <t>Dinner</t>
        </is>
      </c>
      <c r="D224" s="26" t="inlineStr">
        <is>
          <t>Chinese</t>
        </is>
      </c>
      <c r="E224" s="17" t="inlineStr">
        <is>
          <t>Med</t>
        </is>
      </c>
      <c r="F224" s="19" t="inlineStr">
        <is>
          <t>https://youtu.be/QqdcCHQlOe0=</t>
        </is>
      </c>
      <c r="G224" s="27">
        <f>IF(AND(ISNUMBER(SEARCH("Breakfast",$C224)),$D224="Asian"),RAND(),"")</f>
        <v/>
      </c>
      <c r="H224" s="27">
        <f>IF(AND(ISNUMBER(SEARCH("Breakfast",$C224)),$D224="Chinese"),RAND(),"")</f>
        <v/>
      </c>
      <c r="I224" s="27">
        <f>IF(AND(ISNUMBER(SEARCH("Breakfast",$C224)),$D224="Western"),RAND(),"")</f>
        <v/>
      </c>
      <c r="J224" s="27">
        <f>IF(AND(ISNUMBER(SEARCH("Lunch",$C224)),$D224="Asian"),RAND(),"")</f>
        <v/>
      </c>
      <c r="K224" s="27">
        <f>IF(AND(ISNUMBER(SEARCH("Lunch",$C224)),$D224="Chinese"),RAND(),"")</f>
        <v/>
      </c>
      <c r="L224" s="27">
        <f>IF(AND(ISNUMBER(SEARCH("Lunch",$C224)),$D224="Western"),RAND(),"")</f>
        <v/>
      </c>
      <c r="M224" s="27">
        <f>IF(AND(ISNUMBER(SEARCH("Dinner",$C224)),$D224="Asian"),RAND(),"")</f>
        <v/>
      </c>
      <c r="N224" s="27">
        <f>IF(AND(ISNUMBER(SEARCH("Dinner",$C224)),$D224="Chinese"),RAND(),"")</f>
        <v/>
      </c>
      <c r="O224" s="27">
        <f>IF(AND(ISNUMBER(SEARCH("Dinner",$C224)),$D224="Western"),RAND(),"")</f>
        <v/>
      </c>
    </row>
    <row r="225" ht="15.75" customHeight="1" s="36">
      <c r="A225" s="22" t="inlineStr">
        <is>
          <t>Lala Noodles</t>
        </is>
      </c>
      <c r="B225" s="32" t="inlineStr">
        <is>
          <t>花甲, Salt, Oil, Wawacai, Dong Fen, Garlic, Ginger, Oyster Sauce</t>
        </is>
      </c>
      <c r="C225" s="21" t="inlineStr">
        <is>
          <t>Dinner</t>
        </is>
      </c>
      <c r="D225" s="26" t="inlineStr">
        <is>
          <t>Chinese</t>
        </is>
      </c>
      <c r="E225" s="21" t="inlineStr">
        <is>
          <t>High</t>
        </is>
      </c>
      <c r="F225" s="23" t="inlineStr">
        <is>
          <t>https://www.instagram.com/reel/CrQGFAHMnHy/?igshid=MzRlODBiNWFlZA==</t>
        </is>
      </c>
      <c r="G225" s="28">
        <f>IF(AND(ISNUMBER(SEARCH("Breakfast",$C225)),$D225="Asian"),RAND(),"")</f>
        <v/>
      </c>
      <c r="H225" s="28">
        <f>IF(AND(ISNUMBER(SEARCH("Breakfast",$C225)),$D225="Chinese"),RAND(),"")</f>
        <v/>
      </c>
      <c r="I225" s="28">
        <f>IF(AND(ISNUMBER(SEARCH("Breakfast",$C225)),$D225="Western"),RAND(),"")</f>
        <v/>
      </c>
      <c r="J225" s="28">
        <f>IF(AND(ISNUMBER(SEARCH("Lunch",$C225)),$D225="Asian"),RAND(),"")</f>
        <v/>
      </c>
      <c r="K225" s="28">
        <f>IF(AND(ISNUMBER(SEARCH("Lunch",$C225)),$D225="Chinese"),RAND(),"")</f>
        <v/>
      </c>
      <c r="L225" s="28">
        <f>IF(AND(ISNUMBER(SEARCH("Lunch",$C225)),$D225="Western"),RAND(),"")</f>
        <v/>
      </c>
      <c r="M225" s="28">
        <f>IF(AND(ISNUMBER(SEARCH("Dinner",$C225)),$D225="Asian"),RAND(),"")</f>
        <v/>
      </c>
      <c r="N225" s="28">
        <f>IF(AND(ISNUMBER(SEARCH("Dinner",$C225)),$D225="Chinese"),RAND(),"")</f>
        <v/>
      </c>
      <c r="O225" s="28">
        <f>IF(AND(ISNUMBER(SEARCH("Dinner",$C225)),$D225="Western"),RAND(),"")</f>
        <v/>
      </c>
    </row>
    <row r="226" ht="15.75" customHeight="1" s="36">
      <c r="A226" s="18" t="inlineStr">
        <is>
          <t>Leek And Potato Soup</t>
        </is>
      </c>
      <c r="B226" s="18" t="inlineStr">
        <is>
          <t>Potato, Leek, Butter, Chicken Stock</t>
        </is>
      </c>
      <c r="C226" s="17" t="inlineStr">
        <is>
          <t>Dinner</t>
        </is>
      </c>
      <c r="D226" s="33" t="inlineStr">
        <is>
          <t>Western</t>
        </is>
      </c>
      <c r="E226" s="17" t="inlineStr">
        <is>
          <t>Low</t>
        </is>
      </c>
      <c r="F226" s="19" t="inlineStr">
        <is>
          <t>https://www.kitchenstories.com/en/recipes/leek-and-potato-soup-bb35</t>
        </is>
      </c>
      <c r="G226" s="27">
        <f>IF(AND(ISNUMBER(SEARCH("Breakfast",$C226)),$D226="Asian"),RAND(),"")</f>
        <v/>
      </c>
      <c r="H226" s="27">
        <f>IF(AND(ISNUMBER(SEARCH("Breakfast",$C226)),$D226="Chinese"),RAND(),"")</f>
        <v/>
      </c>
      <c r="I226" s="27">
        <f>IF(AND(ISNUMBER(SEARCH("Breakfast",$C226)),$D226="Western"),RAND(),"")</f>
        <v/>
      </c>
      <c r="J226" s="27">
        <f>IF(AND(ISNUMBER(SEARCH("Lunch",$C226)),$D226="Asian"),RAND(),"")</f>
        <v/>
      </c>
      <c r="K226" s="27">
        <f>IF(AND(ISNUMBER(SEARCH("Lunch",$C226)),$D226="Chinese"),RAND(),"")</f>
        <v/>
      </c>
      <c r="L226" s="27">
        <f>IF(AND(ISNUMBER(SEARCH("Lunch",$C226)),$D226="Western"),RAND(),"")</f>
        <v/>
      </c>
      <c r="M226" s="27">
        <f>IF(AND(ISNUMBER(SEARCH("Dinner",$C226)),$D226="Asian"),RAND(),"")</f>
        <v/>
      </c>
      <c r="N226" s="27">
        <f>IF(AND(ISNUMBER(SEARCH("Dinner",$C226)),$D226="Chinese"),RAND(),"")</f>
        <v/>
      </c>
      <c r="O226" s="27">
        <f>IF(AND(ISNUMBER(SEARCH("Dinner",$C226)),$D226="Western"),RAND(),"")</f>
        <v/>
      </c>
      <c r="P226" s="0" t="b">
        <v>1</v>
      </c>
    </row>
    <row r="227" ht="15.75" customHeight="1" s="36">
      <c r="A227" s="22" t="inlineStr">
        <is>
          <t>Lemon Butter Salmon Rice</t>
        </is>
      </c>
      <c r="B227" s="22" t="inlineStr">
        <is>
          <t>Salmon, Rice, chicken stock, soy sauce, oyster sauce, miso, garlic, butter, lemon</t>
        </is>
      </c>
      <c r="C227" s="21" t="inlineStr">
        <is>
          <t>Lunch</t>
        </is>
      </c>
      <c r="D227" s="29" t="inlineStr">
        <is>
          <t>Asian</t>
        </is>
      </c>
      <c r="E227" s="21" t="inlineStr">
        <is>
          <t>Low</t>
        </is>
      </c>
      <c r="F227" s="23" t="inlineStr">
        <is>
          <t>https://www.instagram.com/reel/DWUxklfEkk_/?igsh=MXc5d3RtYzkyemZsbA==</t>
        </is>
      </c>
      <c r="G227" s="28">
        <f>IF(AND(ISNUMBER(SEARCH("Breakfast",$C227)),$D227="Asian"),RAND(),"")</f>
        <v/>
      </c>
      <c r="H227" s="28">
        <f>IF(AND(ISNUMBER(SEARCH("Breakfast",$C227)),$D227="Chinese"),RAND(),"")</f>
        <v/>
      </c>
      <c r="I227" s="28">
        <f>IF(AND(ISNUMBER(SEARCH("Breakfast",$C227)),$D227="Western"),RAND(),"")</f>
        <v/>
      </c>
      <c r="J227" s="28">
        <f>IF(AND(ISNUMBER(SEARCH("Lunch",$C227)),$D227="Asian"),RAND(),"")</f>
        <v/>
      </c>
      <c r="K227" s="28">
        <f>IF(AND(ISNUMBER(SEARCH("Lunch",$C227)),$D227="Chinese"),RAND(),"")</f>
        <v/>
      </c>
      <c r="L227" s="28">
        <f>IF(AND(ISNUMBER(SEARCH("Lunch",$C227)),$D227="Western"),RAND(),"")</f>
        <v/>
      </c>
      <c r="M227" s="28">
        <f>IF(AND(ISNUMBER(SEARCH("Dinner",$C227)),$D227="Asian"),RAND(),"")</f>
        <v/>
      </c>
      <c r="N227" s="28">
        <f>IF(AND(ISNUMBER(SEARCH("Dinner",$C227)),$D227="Chinese"),RAND(),"")</f>
        <v/>
      </c>
      <c r="O227" s="28">
        <f>IF(AND(ISNUMBER(SEARCH("Dinner",$C227)),$D227="Western"),RAND(),"")</f>
        <v/>
      </c>
    </row>
    <row r="228" ht="15.75" customHeight="1" s="36">
      <c r="A228" s="18" t="inlineStr">
        <is>
          <t>Lemon Chicken</t>
        </is>
      </c>
      <c r="B228" s="18" t="inlineStr">
        <is>
          <t>Chicken Thigh, Black pepper, Salt, Ginger Garlic, Lemon, Yoghurt, Butter, Cloves, Cinnamon, Cardamom, Peppercorn</t>
        </is>
      </c>
      <c r="C228" s="17" t="inlineStr">
        <is>
          <t>Dinner</t>
        </is>
      </c>
      <c r="D228" s="33" t="inlineStr">
        <is>
          <t>Chinese</t>
        </is>
      </c>
      <c r="E228" s="17" t="inlineStr">
        <is>
          <t>Low</t>
        </is>
      </c>
      <c r="F228" s="19" t="inlineStr">
        <is>
          <t>https://youtu.be/UBMqcTHHE8Y</t>
        </is>
      </c>
      <c r="G228" s="27">
        <f>IF(AND(ISNUMBER(SEARCH("Breakfast",$C228)),$D228="Asian"),RAND(),"")</f>
        <v/>
      </c>
      <c r="H228" s="27">
        <f>IF(AND(ISNUMBER(SEARCH("Breakfast",$C228)),$D228="Chinese"),RAND(),"")</f>
        <v/>
      </c>
      <c r="I228" s="27">
        <f>IF(AND(ISNUMBER(SEARCH("Breakfast",$C228)),$D228="Western"),RAND(),"")</f>
        <v/>
      </c>
      <c r="J228" s="27">
        <f>IF(AND(ISNUMBER(SEARCH("Lunch",$C228)),$D228="Asian"),RAND(),"")</f>
        <v/>
      </c>
      <c r="K228" s="27">
        <f>IF(AND(ISNUMBER(SEARCH("Lunch",$C228)),$D228="Chinese"),RAND(),"")</f>
        <v/>
      </c>
      <c r="L228" s="27">
        <f>IF(AND(ISNUMBER(SEARCH("Lunch",$C228)),$D228="Western"),RAND(),"")</f>
        <v/>
      </c>
      <c r="M228" s="27">
        <f>IF(AND(ISNUMBER(SEARCH("Dinner",$C228)),$D228="Asian"),RAND(),"")</f>
        <v/>
      </c>
      <c r="N228" s="27">
        <f>IF(AND(ISNUMBER(SEARCH("Dinner",$C228)),$D228="Chinese"),RAND(),"")</f>
        <v/>
      </c>
      <c r="O228" s="27">
        <f>IF(AND(ISNUMBER(SEARCH("Dinner",$C228)),$D228="Western"),RAND(),"")</f>
        <v/>
      </c>
    </row>
    <row r="229" ht="15.75" customHeight="1" s="36">
      <c r="A229" s="22" t="inlineStr">
        <is>
          <t>Lemon chicken soup</t>
        </is>
      </c>
      <c r="B229" s="22" t="inlineStr">
        <is>
          <t>Lemons, Chicken breast, Onion, Garlic, Celery, Chicken stock, Quinoa, Eggs, Feta cheese</t>
        </is>
      </c>
      <c r="C229" s="21" t="inlineStr">
        <is>
          <t>Dinner</t>
        </is>
      </c>
      <c r="D229" s="30" t="inlineStr">
        <is>
          <t>Western</t>
        </is>
      </c>
      <c r="E229" s="21" t="inlineStr">
        <is>
          <t>Med</t>
        </is>
      </c>
      <c r="F229" s="23" t="inlineStr">
        <is>
          <t>https://www.kitchenstories.com/en/recipes/lemon-chicken-soup</t>
        </is>
      </c>
      <c r="G229" s="28">
        <f>IF(AND(ISNUMBER(SEARCH("Breakfast",$C229)),$D229="Asian"),RAND(),"")</f>
        <v/>
      </c>
      <c r="H229" s="28">
        <f>IF(AND(ISNUMBER(SEARCH("Breakfast",$C229)),$D229="Chinese"),RAND(),"")</f>
        <v/>
      </c>
      <c r="I229" s="28">
        <f>IF(AND(ISNUMBER(SEARCH("Breakfast",$C229)),$D229="Western"),RAND(),"")</f>
        <v/>
      </c>
      <c r="J229" s="28">
        <f>IF(AND(ISNUMBER(SEARCH("Lunch",$C229)),$D229="Asian"),RAND(),"")</f>
        <v/>
      </c>
      <c r="K229" s="28">
        <f>IF(AND(ISNUMBER(SEARCH("Lunch",$C229)),$D229="Chinese"),RAND(),"")</f>
        <v/>
      </c>
      <c r="L229" s="28">
        <f>IF(AND(ISNUMBER(SEARCH("Lunch",$C229)),$D229="Western"),RAND(),"")</f>
        <v/>
      </c>
      <c r="M229" s="28">
        <f>IF(AND(ISNUMBER(SEARCH("Dinner",$C229)),$D229="Asian"),RAND(),"")</f>
        <v/>
      </c>
      <c r="N229" s="28">
        <f>IF(AND(ISNUMBER(SEARCH("Dinner",$C229)),$D229="Chinese"),RAND(),"")</f>
        <v/>
      </c>
      <c r="O229" s="28">
        <f>IF(AND(ISNUMBER(SEARCH("Dinner",$C229)),$D229="Western"),RAND(),"")</f>
        <v/>
      </c>
      <c r="P229" s="0" t="b">
        <v>1</v>
      </c>
    </row>
    <row r="230" ht="15.75" customHeight="1" s="36">
      <c r="A230" s="18" t="inlineStr">
        <is>
          <t>Lemon Garlic Butter Beans</t>
        </is>
      </c>
      <c r="B230" s="18" t="inlineStr">
        <is>
          <t>Zuchinni, Onion, Garlic, Lemon, Butter Beans, FirmTofu, Salt, Basil Leaves</t>
        </is>
      </c>
      <c r="C230" s="17" t="inlineStr">
        <is>
          <t>Lunch</t>
        </is>
      </c>
      <c r="D230" s="26" t="inlineStr">
        <is>
          <t>Chinese</t>
        </is>
      </c>
      <c r="E230" s="17" t="inlineStr">
        <is>
          <t>Med</t>
        </is>
      </c>
      <c r="F230" s="19" t="inlineStr">
        <is>
          <t>https://www.instagram.com/reel/DIULAKRSbJ3/?igsh=MXJjZmZrcXl2MXh2aQ==</t>
        </is>
      </c>
      <c r="G230" s="27">
        <f>IF(AND(ISNUMBER(SEARCH("Breakfast",$C230)),$D230="Asian"),RAND(),"")</f>
        <v/>
      </c>
      <c r="H230" s="27">
        <f>IF(AND(ISNUMBER(SEARCH("Breakfast",$C230)),$D230="Chinese"),RAND(),"")</f>
        <v/>
      </c>
      <c r="I230" s="27">
        <f>IF(AND(ISNUMBER(SEARCH("Breakfast",$C230)),$D230="Western"),RAND(),"")</f>
        <v/>
      </c>
      <c r="J230" s="27">
        <f>IF(AND(ISNUMBER(SEARCH("Lunch",$C230)),$D230="Asian"),RAND(),"")</f>
        <v/>
      </c>
      <c r="K230" s="27">
        <f>IF(AND(ISNUMBER(SEARCH("Lunch",$C230)),$D230="Chinese"),RAND(),"")</f>
        <v/>
      </c>
      <c r="L230" s="27">
        <f>IF(AND(ISNUMBER(SEARCH("Lunch",$C230)),$D230="Western"),RAND(),"")</f>
        <v/>
      </c>
      <c r="M230" s="27">
        <f>IF(AND(ISNUMBER(SEARCH("Dinner",$C230)),$D230="Asian"),RAND(),"")</f>
        <v/>
      </c>
      <c r="N230" s="27">
        <f>IF(AND(ISNUMBER(SEARCH("Dinner",$C230)),$D230="Chinese"),RAND(),"")</f>
        <v/>
      </c>
      <c r="O230" s="27">
        <f>IF(AND(ISNUMBER(SEARCH("Dinner",$C230)),$D230="Western"),RAND(),"")</f>
        <v/>
      </c>
    </row>
    <row r="231" ht="15.75" customHeight="1" s="36">
      <c r="A231" s="22" t="inlineStr">
        <is>
          <t>Lemon Pepper Chicken</t>
        </is>
      </c>
      <c r="B231" s="22" t="inlineStr">
        <is>
          <t>Garlic Powder, Onion Powder, Paprika, Olive Oil, Lemon, Garlic, unsalted butter</t>
        </is>
      </c>
      <c r="C231" s="21" t="inlineStr">
        <is>
          <t>Dinner</t>
        </is>
      </c>
      <c r="D231" s="33" t="inlineStr">
        <is>
          <t>Chinese</t>
        </is>
      </c>
      <c r="E231" s="21" t="inlineStr">
        <is>
          <t>Low</t>
        </is>
      </c>
      <c r="F231" s="23" t="inlineStr">
        <is>
          <t>https://www.instagram.com/reel/CwEWvadqRBI/?igsh=MTRoZDFjNzlld2RmbQ==</t>
        </is>
      </c>
      <c r="G231" s="28">
        <f>IF(AND(ISNUMBER(SEARCH("Breakfast",$C231)),$D231="Asian"),RAND(),"")</f>
        <v/>
      </c>
      <c r="H231" s="28">
        <f>IF(AND(ISNUMBER(SEARCH("Breakfast",$C231)),$D231="Chinese"),RAND(),"")</f>
        <v/>
      </c>
      <c r="I231" s="28">
        <f>IF(AND(ISNUMBER(SEARCH("Breakfast",$C231)),$D231="Western"),RAND(),"")</f>
        <v/>
      </c>
      <c r="J231" s="28">
        <f>IF(AND(ISNUMBER(SEARCH("Lunch",$C231)),$D231="Asian"),RAND(),"")</f>
        <v/>
      </c>
      <c r="K231" s="28">
        <f>IF(AND(ISNUMBER(SEARCH("Lunch",$C231)),$D231="Chinese"),RAND(),"")</f>
        <v/>
      </c>
      <c r="L231" s="28">
        <f>IF(AND(ISNUMBER(SEARCH("Lunch",$C231)),$D231="Western"),RAND(),"")</f>
        <v/>
      </c>
      <c r="M231" s="28">
        <f>IF(AND(ISNUMBER(SEARCH("Dinner",$C231)),$D231="Asian"),RAND(),"")</f>
        <v/>
      </c>
      <c r="N231" s="28">
        <f>IF(AND(ISNUMBER(SEARCH("Dinner",$C231)),$D231="Chinese"),RAND(),"")</f>
        <v/>
      </c>
      <c r="O231" s="28">
        <f>IF(AND(ISNUMBER(SEARCH("Dinner",$C231)),$D231="Western"),RAND(),"")</f>
        <v/>
      </c>
    </row>
    <row r="232" ht="15.75" customHeight="1" s="36">
      <c r="A232" s="18" t="inlineStr">
        <is>
          <t>Lemon Pepper Prawn</t>
        </is>
      </c>
      <c r="B232" s="18" t="inlineStr">
        <is>
          <t>Prawn, Spring Onion, Lemon, White Pepper, Black Pepper</t>
        </is>
      </c>
      <c r="C232" s="17" t="inlineStr">
        <is>
          <t>Dinner</t>
        </is>
      </c>
      <c r="D232" s="33" t="inlineStr">
        <is>
          <t>Chinese</t>
        </is>
      </c>
      <c r="E232" s="17" t="inlineStr">
        <is>
          <t>Low</t>
        </is>
      </c>
      <c r="F232" s="19" t="inlineStr">
        <is>
          <t>https://icook.tw/recipes/243144?utm_source=copy&amp;utm_medium=sharev3&amp;utm_campaign=recipe-share</t>
        </is>
      </c>
      <c r="G232" s="27">
        <f>IF(AND(ISNUMBER(SEARCH("Breakfast",$C232)),$D232="Asian"),RAND(),"")</f>
        <v/>
      </c>
      <c r="H232" s="27">
        <f>IF(AND(ISNUMBER(SEARCH("Breakfast",$C232)),$D232="Chinese"),RAND(),"")</f>
        <v/>
      </c>
      <c r="I232" s="27">
        <f>IF(AND(ISNUMBER(SEARCH("Breakfast",$C232)),$D232="Western"),RAND(),"")</f>
        <v/>
      </c>
      <c r="J232" s="27">
        <f>IF(AND(ISNUMBER(SEARCH("Lunch",$C232)),$D232="Asian"),RAND(),"")</f>
        <v/>
      </c>
      <c r="K232" s="27">
        <f>IF(AND(ISNUMBER(SEARCH("Lunch",$C232)),$D232="Chinese"),RAND(),"")</f>
        <v/>
      </c>
      <c r="L232" s="27">
        <f>IF(AND(ISNUMBER(SEARCH("Lunch",$C232)),$D232="Western"),RAND(),"")</f>
        <v/>
      </c>
      <c r="M232" s="27">
        <f>IF(AND(ISNUMBER(SEARCH("Dinner",$C232)),$D232="Asian"),RAND(),"")</f>
        <v/>
      </c>
      <c r="N232" s="27">
        <f>IF(AND(ISNUMBER(SEARCH("Dinner",$C232)),$D232="Chinese"),RAND(),"")</f>
        <v/>
      </c>
      <c r="O232" s="27">
        <f>IF(AND(ISNUMBER(SEARCH("Dinner",$C232)),$D232="Western"),RAND(),"")</f>
        <v/>
      </c>
    </row>
    <row r="233" ht="15.75" customHeight="1" s="36">
      <c r="A233" s="22" t="inlineStr">
        <is>
          <t>Lemon Pork Chop</t>
        </is>
      </c>
      <c r="B233" s="22" t="inlineStr">
        <is>
          <t>Pork Belly/Pork Chop, Lemon, Green Onion</t>
        </is>
      </c>
      <c r="C233" s="21" t="inlineStr">
        <is>
          <t>Dinner</t>
        </is>
      </c>
      <c r="D233" s="33" t="inlineStr">
        <is>
          <t>Chinese</t>
        </is>
      </c>
      <c r="E233" s="21" t="inlineStr">
        <is>
          <t>Low</t>
        </is>
      </c>
      <c r="F233" s="23" t="inlineStr">
        <is>
          <t>https://www.instagram.com/reel/DLSUn63Twqs/?igsh=MWhodTQ4YjJ0a3dwZA==</t>
        </is>
      </c>
      <c r="G233" s="28">
        <f>IF(AND(ISNUMBER(SEARCH("Breakfast",$C233)),$D233="Asian"),RAND(),"")</f>
        <v/>
      </c>
      <c r="H233" s="28">
        <f>IF(AND(ISNUMBER(SEARCH("Breakfast",$C233)),$D233="Chinese"),RAND(),"")</f>
        <v/>
      </c>
      <c r="I233" s="28">
        <f>IF(AND(ISNUMBER(SEARCH("Breakfast",$C233)),$D233="Western"),RAND(),"")</f>
        <v/>
      </c>
      <c r="J233" s="28">
        <f>IF(AND(ISNUMBER(SEARCH("Lunch",$C233)),$D233="Asian"),RAND(),"")</f>
        <v/>
      </c>
      <c r="K233" s="28">
        <f>IF(AND(ISNUMBER(SEARCH("Lunch",$C233)),$D233="Chinese"),RAND(),"")</f>
        <v/>
      </c>
      <c r="L233" s="28">
        <f>IF(AND(ISNUMBER(SEARCH("Lunch",$C233)),$D233="Western"),RAND(),"")</f>
        <v/>
      </c>
      <c r="M233" s="28">
        <f>IF(AND(ISNUMBER(SEARCH("Dinner",$C233)),$D233="Asian"),RAND(),"")</f>
        <v/>
      </c>
      <c r="N233" s="28">
        <f>IF(AND(ISNUMBER(SEARCH("Dinner",$C233)),$D233="Chinese"),RAND(),"")</f>
        <v/>
      </c>
      <c r="O233" s="28">
        <f>IF(AND(ISNUMBER(SEARCH("Dinner",$C233)),$D233="Western"),RAND(),"")</f>
        <v/>
      </c>
    </row>
    <row r="234" ht="15.75" customHeight="1" s="36">
      <c r="A234" s="18" t="inlineStr">
        <is>
          <t>Lemongrass</t>
        </is>
      </c>
      <c r="B234" s="18" t="inlineStr">
        <is>
          <t>—</t>
        </is>
      </c>
      <c r="C234" s="17" t="inlineStr">
        <is>
          <t>Dinner</t>
        </is>
      </c>
      <c r="D234" s="29" t="inlineStr">
        <is>
          <t>Asian</t>
        </is>
      </c>
      <c r="E234" s="17" t="inlineStr">
        <is>
          <t>Med</t>
        </is>
      </c>
      <c r="F234" s="18" t="n"/>
      <c r="G234" s="27">
        <f>IF(AND(ISNUMBER(SEARCH("Breakfast",$C234)),$D234="Asian"),RAND(),"")</f>
        <v/>
      </c>
      <c r="H234" s="27">
        <f>IF(AND(ISNUMBER(SEARCH("Breakfast",$C234)),$D234="Chinese"),RAND(),"")</f>
        <v/>
      </c>
      <c r="I234" s="27">
        <f>IF(AND(ISNUMBER(SEARCH("Breakfast",$C234)),$D234="Western"),RAND(),"")</f>
        <v/>
      </c>
      <c r="J234" s="27">
        <f>IF(AND(ISNUMBER(SEARCH("Lunch",$C234)),$D234="Asian"),RAND(),"")</f>
        <v/>
      </c>
      <c r="K234" s="27">
        <f>IF(AND(ISNUMBER(SEARCH("Lunch",$C234)),$D234="Chinese"),RAND(),"")</f>
        <v/>
      </c>
      <c r="L234" s="27">
        <f>IF(AND(ISNUMBER(SEARCH("Lunch",$C234)),$D234="Western"),RAND(),"")</f>
        <v/>
      </c>
      <c r="M234" s="27">
        <f>IF(AND(ISNUMBER(SEARCH("Dinner",$C234)),$D234="Asian"),RAND(),"")</f>
        <v/>
      </c>
      <c r="N234" s="27">
        <f>IF(AND(ISNUMBER(SEARCH("Dinner",$C234)),$D234="Chinese"),RAND(),"")</f>
        <v/>
      </c>
      <c r="O234" s="27">
        <f>IF(AND(ISNUMBER(SEARCH("Dinner",$C234)),$D234="Western"),RAND(),"")</f>
        <v/>
      </c>
    </row>
    <row r="235" ht="15.75" customHeight="1" s="36">
      <c r="A235" s="22" t="inlineStr">
        <is>
          <t>Lemongrass Coconut Lala</t>
        </is>
      </c>
      <c r="B235" s="22" t="inlineStr">
        <is>
          <t>Coconut Water, Lala Clams, Lemongrass, Ginger, Lemon Leaves, Spring Onion, Fish Sauce, Green Lemon, Coriander</t>
        </is>
      </c>
      <c r="C235" s="21" t="inlineStr">
        <is>
          <t>Dinner</t>
        </is>
      </c>
      <c r="D235" s="29" t="inlineStr">
        <is>
          <t>Asian</t>
        </is>
      </c>
      <c r="E235" s="21" t="inlineStr">
        <is>
          <t>Med</t>
        </is>
      </c>
      <c r="F235" s="23" t="inlineStr">
        <is>
          <t>https://www.instagram.com/p/DNDpY0zMnpb/?igsh=b3d3OWx4ajY0djcw</t>
        </is>
      </c>
      <c r="G235" s="28">
        <f>IF(AND(ISNUMBER(SEARCH("Breakfast",$C235)),$D235="Asian"),RAND(),"")</f>
        <v/>
      </c>
      <c r="H235" s="28">
        <f>IF(AND(ISNUMBER(SEARCH("Breakfast",$C235)),$D235="Chinese"),RAND(),"")</f>
        <v/>
      </c>
      <c r="I235" s="28">
        <f>IF(AND(ISNUMBER(SEARCH("Breakfast",$C235)),$D235="Western"),RAND(),"")</f>
        <v/>
      </c>
      <c r="J235" s="28">
        <f>IF(AND(ISNUMBER(SEARCH("Lunch",$C235)),$D235="Asian"),RAND(),"")</f>
        <v/>
      </c>
      <c r="K235" s="28">
        <f>IF(AND(ISNUMBER(SEARCH("Lunch",$C235)),$D235="Chinese"),RAND(),"")</f>
        <v/>
      </c>
      <c r="L235" s="28">
        <f>IF(AND(ISNUMBER(SEARCH("Lunch",$C235)),$D235="Western"),RAND(),"")</f>
        <v/>
      </c>
      <c r="M235" s="28">
        <f>IF(AND(ISNUMBER(SEARCH("Dinner",$C235)),$D235="Asian"),RAND(),"")</f>
        <v/>
      </c>
      <c r="N235" s="28">
        <f>IF(AND(ISNUMBER(SEARCH("Dinner",$C235)),$D235="Chinese"),RAND(),"")</f>
        <v/>
      </c>
      <c r="O235" s="28">
        <f>IF(AND(ISNUMBER(SEARCH("Dinner",$C235)),$D235="Western"),RAND(),"")</f>
        <v/>
      </c>
    </row>
    <row r="236" ht="15.75" customHeight="1" s="36">
      <c r="A236" s="18" t="inlineStr">
        <is>
          <t>Lentil Salad</t>
        </is>
      </c>
      <c r="B236" s="18" t="inlineStr">
        <is>
          <t>Lentils, Pomengrate, Mint, Parsley, Olive Oil</t>
        </is>
      </c>
      <c r="C236" s="17" t="inlineStr">
        <is>
          <t>Lunch</t>
        </is>
      </c>
      <c r="D236" s="30" t="inlineStr">
        <is>
          <t>Western</t>
        </is>
      </c>
      <c r="E236" s="17" t="inlineStr">
        <is>
          <t>Med</t>
        </is>
      </c>
      <c r="F236" s="19" t="inlineStr">
        <is>
          <t>https://www.instagram.com/reel/C9EveUhpbZ2/?igsh=MTIwdHFsMGs5dGszaA==</t>
        </is>
      </c>
      <c r="G236" s="27">
        <f>IF(AND(ISNUMBER(SEARCH("Breakfast",$C236)),$D236="Asian"),RAND(),"")</f>
        <v/>
      </c>
      <c r="H236" s="27">
        <f>IF(AND(ISNUMBER(SEARCH("Breakfast",$C236)),$D236="Chinese"),RAND(),"")</f>
        <v/>
      </c>
      <c r="I236" s="27">
        <f>IF(AND(ISNUMBER(SEARCH("Breakfast",$C236)),$D236="Western"),RAND(),"")</f>
        <v/>
      </c>
      <c r="J236" s="27">
        <f>IF(AND(ISNUMBER(SEARCH("Lunch",$C236)),$D236="Asian"),RAND(),"")</f>
        <v/>
      </c>
      <c r="K236" s="27">
        <f>IF(AND(ISNUMBER(SEARCH("Lunch",$C236)),$D236="Chinese"),RAND(),"")</f>
        <v/>
      </c>
      <c r="L236" s="27">
        <f>IF(AND(ISNUMBER(SEARCH("Lunch",$C236)),$D236="Western"),RAND(),"")</f>
        <v/>
      </c>
      <c r="M236" s="27">
        <f>IF(AND(ISNUMBER(SEARCH("Dinner",$C236)),$D236="Asian"),RAND(),"")</f>
        <v/>
      </c>
      <c r="N236" s="27">
        <f>IF(AND(ISNUMBER(SEARCH("Dinner",$C236)),$D236="Chinese"),RAND(),"")</f>
        <v/>
      </c>
      <c r="O236" s="27">
        <f>IF(AND(ISNUMBER(SEARCH("Dinner",$C236)),$D236="Western"),RAND(),"")</f>
        <v/>
      </c>
    </row>
    <row r="237" ht="15.75" customHeight="1" s="36">
      <c r="A237" s="22" t="inlineStr">
        <is>
          <t>Lentil Salad with apple and celery</t>
        </is>
      </c>
      <c r="B237" s="22" t="inlineStr">
        <is>
          <t>Green Lentils, Apple, Parsley, Walnuts, Red Onion, Apple Cider Vinegar, Honey, Dijon Mustard, Lemon</t>
        </is>
      </c>
      <c r="C237" s="21" t="inlineStr">
        <is>
          <t>Lunch</t>
        </is>
      </c>
      <c r="D237" s="30" t="inlineStr">
        <is>
          <t>Western</t>
        </is>
      </c>
      <c r="E237" s="21" t="inlineStr">
        <is>
          <t>Med</t>
        </is>
      </c>
      <c r="F237" s="23" t="inlineStr">
        <is>
          <t>https://www.kitchenstories.com/en/recipes/lentil-salad-with-apple-and-celery</t>
        </is>
      </c>
      <c r="G237" s="28">
        <f>IF(AND(ISNUMBER(SEARCH("Breakfast",$C237)),$D237="Asian"),RAND(),"")</f>
        <v/>
      </c>
      <c r="H237" s="28">
        <f>IF(AND(ISNUMBER(SEARCH("Breakfast",$C237)),$D237="Chinese"),RAND(),"")</f>
        <v/>
      </c>
      <c r="I237" s="28">
        <f>IF(AND(ISNUMBER(SEARCH("Breakfast",$C237)),$D237="Western"),RAND(),"")</f>
        <v/>
      </c>
      <c r="J237" s="28">
        <f>IF(AND(ISNUMBER(SEARCH("Lunch",$C237)),$D237="Asian"),RAND(),"")</f>
        <v/>
      </c>
      <c r="K237" s="28">
        <f>IF(AND(ISNUMBER(SEARCH("Lunch",$C237)),$D237="Chinese"),RAND(),"")</f>
        <v/>
      </c>
      <c r="L237" s="28">
        <f>IF(AND(ISNUMBER(SEARCH("Lunch",$C237)),$D237="Western"),RAND(),"")</f>
        <v/>
      </c>
      <c r="M237" s="28">
        <f>IF(AND(ISNUMBER(SEARCH("Dinner",$C237)),$D237="Asian"),RAND(),"")</f>
        <v/>
      </c>
      <c r="N237" s="28">
        <f>IF(AND(ISNUMBER(SEARCH("Dinner",$C237)),$D237="Chinese"),RAND(),"")</f>
        <v/>
      </c>
      <c r="O237" s="28">
        <f>IF(AND(ISNUMBER(SEARCH("Dinner",$C237)),$D237="Western"),RAND(),"")</f>
        <v/>
      </c>
    </row>
    <row r="238" ht="15.75" customHeight="1" s="36">
      <c r="A238" s="18" t="inlineStr">
        <is>
          <t>Lettuce Meat Dish</t>
        </is>
      </c>
      <c r="B238" s="18" t="inlineStr">
        <is>
          <t>Lettuce, Ground Pork, Shaoxing Wine, Water Chestnut, Chinese Sausage, Shiitake Mushroom, Onion, Scallions, Ginger</t>
        </is>
      </c>
      <c r="C238" s="17" t="inlineStr">
        <is>
          <t>Dinner</t>
        </is>
      </c>
      <c r="D238" s="26" t="inlineStr">
        <is>
          <t>Chinese</t>
        </is>
      </c>
      <c r="E238" s="17" t="inlineStr">
        <is>
          <t>Med</t>
        </is>
      </c>
      <c r="F238" s="19" t="inlineStr">
        <is>
          <t>https://www.instagram.com/reel/Cif2zraD4N4/?igshid=YmMyMTA2M2Y=</t>
        </is>
      </c>
      <c r="G238" s="27">
        <f>IF(AND(ISNUMBER(SEARCH("Breakfast",$C238)),$D238="Asian"),RAND(),"")</f>
        <v/>
      </c>
      <c r="H238" s="27">
        <f>IF(AND(ISNUMBER(SEARCH("Breakfast",$C238)),$D238="Chinese"),RAND(),"")</f>
        <v/>
      </c>
      <c r="I238" s="27">
        <f>IF(AND(ISNUMBER(SEARCH("Breakfast",$C238)),$D238="Western"),RAND(),"")</f>
        <v/>
      </c>
      <c r="J238" s="27">
        <f>IF(AND(ISNUMBER(SEARCH("Lunch",$C238)),$D238="Asian"),RAND(),"")</f>
        <v/>
      </c>
      <c r="K238" s="27">
        <f>IF(AND(ISNUMBER(SEARCH("Lunch",$C238)),$D238="Chinese"),RAND(),"")</f>
        <v/>
      </c>
      <c r="L238" s="27">
        <f>IF(AND(ISNUMBER(SEARCH("Lunch",$C238)),$D238="Western"),RAND(),"")</f>
        <v/>
      </c>
      <c r="M238" s="27">
        <f>IF(AND(ISNUMBER(SEARCH("Dinner",$C238)),$D238="Asian"),RAND(),"")</f>
        <v/>
      </c>
      <c r="N238" s="27">
        <f>IF(AND(ISNUMBER(SEARCH("Dinner",$C238)),$D238="Chinese"),RAND(),"")</f>
        <v/>
      </c>
      <c r="O238" s="27">
        <f>IF(AND(ISNUMBER(SEARCH("Dinner",$C238)),$D238="Western"),RAND(),"")</f>
        <v/>
      </c>
    </row>
    <row r="239" ht="15.75" customHeight="1" s="36">
      <c r="A239" s="22" t="inlineStr">
        <is>
          <t>Long Beans</t>
        </is>
      </c>
      <c r="B239" s="22" t="inlineStr">
        <is>
          <t>Garlic</t>
        </is>
      </c>
      <c r="C239" s="21" t="inlineStr">
        <is>
          <t>Dinner</t>
        </is>
      </c>
      <c r="D239" s="33" t="inlineStr">
        <is>
          <t>Chinese</t>
        </is>
      </c>
      <c r="E239" s="21" t="inlineStr">
        <is>
          <t>Low</t>
        </is>
      </c>
      <c r="F239" s="23" t="inlineStr">
        <is>
          <t>https://www.instagram.com/reel/CdDvbDojMbj/?igshid=MDJmNzVkMjY=</t>
        </is>
      </c>
      <c r="G239" s="28">
        <f>IF(AND(ISNUMBER(SEARCH("Breakfast",$C239)),$D239="Asian"),RAND(),"")</f>
        <v/>
      </c>
      <c r="H239" s="28">
        <f>IF(AND(ISNUMBER(SEARCH("Breakfast",$C239)),$D239="Chinese"),RAND(),"")</f>
        <v/>
      </c>
      <c r="I239" s="28">
        <f>IF(AND(ISNUMBER(SEARCH("Breakfast",$C239)),$D239="Western"),RAND(),"")</f>
        <v/>
      </c>
      <c r="J239" s="28">
        <f>IF(AND(ISNUMBER(SEARCH("Lunch",$C239)),$D239="Asian"),RAND(),"")</f>
        <v/>
      </c>
      <c r="K239" s="28">
        <f>IF(AND(ISNUMBER(SEARCH("Lunch",$C239)),$D239="Chinese"),RAND(),"")</f>
        <v/>
      </c>
      <c r="L239" s="28">
        <f>IF(AND(ISNUMBER(SEARCH("Lunch",$C239)),$D239="Western"),RAND(),"")</f>
        <v/>
      </c>
      <c r="M239" s="28">
        <f>IF(AND(ISNUMBER(SEARCH("Dinner",$C239)),$D239="Asian"),RAND(),"")</f>
        <v/>
      </c>
      <c r="N239" s="28">
        <f>IF(AND(ISNUMBER(SEARCH("Dinner",$C239)),$D239="Chinese"),RAND(),"")</f>
        <v/>
      </c>
      <c r="O239" s="28">
        <f>IF(AND(ISNUMBER(SEARCH("Dinner",$C239)),$D239="Western"),RAND(),"")</f>
        <v/>
      </c>
    </row>
    <row r="240" ht="15.75" customHeight="1" s="36">
      <c r="A240" s="18" t="inlineStr">
        <is>
          <t>Lor Mee</t>
        </is>
      </c>
      <c r="B240" s="18" t="inlineStr">
        <is>
          <t>Pork Belly, Garlic, Ginger, Cinnamon Stick, Star Anise, Bay Leaf, Cloves, White Peppercorn, Soya Sauce, Oyster Sauce, Shaoxing Wine, Cornstarch, Beansprouts, Chilli, Spring Onion</t>
        </is>
      </c>
      <c r="C240" s="17" t="inlineStr">
        <is>
          <t>Lunch</t>
        </is>
      </c>
      <c r="D240" s="26" t="inlineStr">
        <is>
          <t>Chinese</t>
        </is>
      </c>
      <c r="E240" s="17" t="inlineStr">
        <is>
          <t>High</t>
        </is>
      </c>
      <c r="F240" s="19" t="inlineStr">
        <is>
          <t>https://www.instagram.com/p/CVfZQJtvTF3/?utm_medium=copy_link</t>
        </is>
      </c>
      <c r="G240" s="27">
        <f>IF(AND(ISNUMBER(SEARCH("Breakfast",$C240)),$D240="Asian"),RAND(),"")</f>
        <v/>
      </c>
      <c r="H240" s="27">
        <f>IF(AND(ISNUMBER(SEARCH("Breakfast",$C240)),$D240="Chinese"),RAND(),"")</f>
        <v/>
      </c>
      <c r="I240" s="27">
        <f>IF(AND(ISNUMBER(SEARCH("Breakfast",$C240)),$D240="Western"),RAND(),"")</f>
        <v/>
      </c>
      <c r="J240" s="27">
        <f>IF(AND(ISNUMBER(SEARCH("Lunch",$C240)),$D240="Asian"),RAND(),"")</f>
        <v/>
      </c>
      <c r="K240" s="27">
        <f>IF(AND(ISNUMBER(SEARCH("Lunch",$C240)),$D240="Chinese"),RAND(),"")</f>
        <v/>
      </c>
      <c r="L240" s="27">
        <f>IF(AND(ISNUMBER(SEARCH("Lunch",$C240)),$D240="Western"),RAND(),"")</f>
        <v/>
      </c>
      <c r="M240" s="27">
        <f>IF(AND(ISNUMBER(SEARCH("Dinner",$C240)),$D240="Asian"),RAND(),"")</f>
        <v/>
      </c>
      <c r="N240" s="27">
        <f>IF(AND(ISNUMBER(SEARCH("Dinner",$C240)),$D240="Chinese"),RAND(),"")</f>
        <v/>
      </c>
      <c r="O240" s="27">
        <f>IF(AND(ISNUMBER(SEARCH("Dinner",$C240)),$D240="Western"),RAND(),"")</f>
        <v/>
      </c>
    </row>
    <row r="241" ht="15.75" customHeight="1" s="36">
      <c r="A241" s="22" t="inlineStr">
        <is>
          <t>Lotus Roots</t>
        </is>
      </c>
      <c r="B241" s="22" t="inlineStr">
        <is>
          <t>Apple Vinegar, Garlic, Rice Syrup</t>
        </is>
      </c>
      <c r="C241" s="21" t="inlineStr">
        <is>
          <t>Dinner</t>
        </is>
      </c>
      <c r="D241" s="26" t="inlineStr">
        <is>
          <t>Chinese</t>
        </is>
      </c>
      <c r="E241" s="21" t="inlineStr">
        <is>
          <t>Med</t>
        </is>
      </c>
      <c r="F241" s="23" t="inlineStr">
        <is>
          <t>https://youtu.be/ebQlQ1_vSYc</t>
        </is>
      </c>
      <c r="G241" s="28">
        <f>IF(AND(ISNUMBER(SEARCH("Breakfast",$C241)),$D241="Asian"),RAND(),"")</f>
        <v/>
      </c>
      <c r="H241" s="28">
        <f>IF(AND(ISNUMBER(SEARCH("Breakfast",$C241)),$D241="Chinese"),RAND(),"")</f>
        <v/>
      </c>
      <c r="I241" s="28">
        <f>IF(AND(ISNUMBER(SEARCH("Breakfast",$C241)),$D241="Western"),RAND(),"")</f>
        <v/>
      </c>
      <c r="J241" s="28">
        <f>IF(AND(ISNUMBER(SEARCH("Lunch",$C241)),$D241="Asian"),RAND(),"")</f>
        <v/>
      </c>
      <c r="K241" s="28">
        <f>IF(AND(ISNUMBER(SEARCH("Lunch",$C241)),$D241="Chinese"),RAND(),"")</f>
        <v/>
      </c>
      <c r="L241" s="28">
        <f>IF(AND(ISNUMBER(SEARCH("Lunch",$C241)),$D241="Western"),RAND(),"")</f>
        <v/>
      </c>
      <c r="M241" s="28">
        <f>IF(AND(ISNUMBER(SEARCH("Dinner",$C241)),$D241="Asian"),RAND(),"")</f>
        <v/>
      </c>
      <c r="N241" s="28">
        <f>IF(AND(ISNUMBER(SEARCH("Dinner",$C241)),$D241="Chinese"),RAND(),"")</f>
        <v/>
      </c>
      <c r="O241" s="28">
        <f>IF(AND(ISNUMBER(SEARCH("Dinner",$C241)),$D241="Western"),RAND(),"")</f>
        <v/>
      </c>
    </row>
    <row r="242" ht="15.75" customHeight="1" s="36">
      <c r="A242" s="18" t="inlineStr">
        <is>
          <t>Mackeral</t>
        </is>
      </c>
      <c r="B242" s="18" t="inlineStr">
        <is>
          <t>Miso, Mirin, Sake, Sugar, Ginger</t>
        </is>
      </c>
      <c r="C242" s="17" t="inlineStr">
        <is>
          <t>Dinner</t>
        </is>
      </c>
      <c r="D242" s="29" t="inlineStr">
        <is>
          <t>Asian</t>
        </is>
      </c>
      <c r="E242" s="17" t="inlineStr">
        <is>
          <t>High</t>
        </is>
      </c>
      <c r="F242" s="19" t="inlineStr">
        <is>
          <t>https://youtu.be/8jX8wJEAZBc</t>
        </is>
      </c>
      <c r="G242" s="27">
        <f>IF(AND(ISNUMBER(SEARCH("Breakfast",$C242)),$D242="Asian"),RAND(),"")</f>
        <v/>
      </c>
      <c r="H242" s="27">
        <f>IF(AND(ISNUMBER(SEARCH("Breakfast",$C242)),$D242="Chinese"),RAND(),"")</f>
        <v/>
      </c>
      <c r="I242" s="27">
        <f>IF(AND(ISNUMBER(SEARCH("Breakfast",$C242)),$D242="Western"),RAND(),"")</f>
        <v/>
      </c>
      <c r="J242" s="27">
        <f>IF(AND(ISNUMBER(SEARCH("Lunch",$C242)),$D242="Asian"),RAND(),"")</f>
        <v/>
      </c>
      <c r="K242" s="27">
        <f>IF(AND(ISNUMBER(SEARCH("Lunch",$C242)),$D242="Chinese"),RAND(),"")</f>
        <v/>
      </c>
      <c r="L242" s="27">
        <f>IF(AND(ISNUMBER(SEARCH("Lunch",$C242)),$D242="Western"),RAND(),"")</f>
        <v/>
      </c>
      <c r="M242" s="27">
        <f>IF(AND(ISNUMBER(SEARCH("Dinner",$C242)),$D242="Asian"),RAND(),"")</f>
        <v/>
      </c>
      <c r="N242" s="27">
        <f>IF(AND(ISNUMBER(SEARCH("Dinner",$C242)),$D242="Chinese"),RAND(),"")</f>
        <v/>
      </c>
      <c r="O242" s="27">
        <f>IF(AND(ISNUMBER(SEARCH("Dinner",$C242)),$D242="Western"),RAND(),"")</f>
        <v/>
      </c>
    </row>
    <row r="243" ht="15.75" customHeight="1" s="36">
      <c r="A243" s="22" t="inlineStr">
        <is>
          <t>Mapo Tofu</t>
        </is>
      </c>
      <c r="B243" s="22" t="inlineStr">
        <is>
          <t>Pressed Tofu, Leek, Sichuan Peppercorn, Garlic, Douban Sauce, Chilli Powder, Olive Oil, Minced Beef, Corn Starch, Ginger, Sugar, Oyster Sauce, Soy Sauce, Ground Pork Meat, Tofu, Bean Sauce, Chicken Stock, Starch, Huajiao Oil, Spring Onion</t>
        </is>
      </c>
      <c r="C243" s="21" t="inlineStr">
        <is>
          <t>Dinner</t>
        </is>
      </c>
      <c r="D243" s="26" t="inlineStr">
        <is>
          <t>Chinese</t>
        </is>
      </c>
      <c r="E243" s="21" t="inlineStr">
        <is>
          <t>High</t>
        </is>
      </c>
      <c r="F243" s="23" t="inlineStr">
        <is>
          <t>https://www.instagram.com/reel/C3oky8_xKPJ/?igsh=NWZ6M3J1dnlpcG5p</t>
        </is>
      </c>
      <c r="G243" s="28">
        <f>IF(AND(ISNUMBER(SEARCH("Breakfast",$C243)),$D243="Asian"),RAND(),"")</f>
        <v/>
      </c>
      <c r="H243" s="28">
        <f>IF(AND(ISNUMBER(SEARCH("Breakfast",$C243)),$D243="Chinese"),RAND(),"")</f>
        <v/>
      </c>
      <c r="I243" s="28">
        <f>IF(AND(ISNUMBER(SEARCH("Breakfast",$C243)),$D243="Western"),RAND(),"")</f>
        <v/>
      </c>
      <c r="J243" s="28">
        <f>IF(AND(ISNUMBER(SEARCH("Lunch",$C243)),$D243="Asian"),RAND(),"")</f>
        <v/>
      </c>
      <c r="K243" s="28">
        <f>IF(AND(ISNUMBER(SEARCH("Lunch",$C243)),$D243="Chinese"),RAND(),"")</f>
        <v/>
      </c>
      <c r="L243" s="28">
        <f>IF(AND(ISNUMBER(SEARCH("Lunch",$C243)),$D243="Western"),RAND(),"")</f>
        <v/>
      </c>
      <c r="M243" s="28">
        <f>IF(AND(ISNUMBER(SEARCH("Dinner",$C243)),$D243="Asian"),RAND(),"")</f>
        <v/>
      </c>
      <c r="N243" s="28">
        <f>IF(AND(ISNUMBER(SEARCH("Dinner",$C243)),$D243="Chinese"),RAND(),"")</f>
        <v/>
      </c>
      <c r="O243" s="28">
        <f>IF(AND(ISNUMBER(SEARCH("Dinner",$C243)),$D243="Western"),RAND(),"")</f>
        <v/>
      </c>
    </row>
    <row r="244" ht="15.75" customHeight="1" s="36">
      <c r="A244" s="18" t="inlineStr">
        <is>
          <t>Marmaite chicken</t>
        </is>
      </c>
      <c r="B244" s="18" t="inlineStr">
        <is>
          <t>Chicken Tenderloin, Garlic powder, Egg white, Cooking cream, Cornstarch, Potato starch, Baking soda, White sesame, Rice syrup, Marmite, Oyster sauce, Light soy suace, Cooking wine, Sugar, Chicken thigh, Lemon, Onion, Honey, Vinegar, Black Pepper</t>
        </is>
      </c>
      <c r="C244" s="17" t="inlineStr">
        <is>
          <t>Dinner</t>
        </is>
      </c>
      <c r="D244" s="26" t="inlineStr">
        <is>
          <t>Chinese</t>
        </is>
      </c>
      <c r="E244" s="17" t="inlineStr">
        <is>
          <t>Med</t>
        </is>
      </c>
      <c r="F244" s="18" t="n"/>
      <c r="G244" s="27">
        <f>IF(AND(ISNUMBER(SEARCH("Breakfast",$C244)),$D244="Asian"),RAND(),"")</f>
        <v/>
      </c>
      <c r="H244" s="27">
        <f>IF(AND(ISNUMBER(SEARCH("Breakfast",$C244)),$D244="Chinese"),RAND(),"")</f>
        <v/>
      </c>
      <c r="I244" s="27">
        <f>IF(AND(ISNUMBER(SEARCH("Breakfast",$C244)),$D244="Western"),RAND(),"")</f>
        <v/>
      </c>
      <c r="J244" s="27">
        <f>IF(AND(ISNUMBER(SEARCH("Lunch",$C244)),$D244="Asian"),RAND(),"")</f>
        <v/>
      </c>
      <c r="K244" s="27">
        <f>IF(AND(ISNUMBER(SEARCH("Lunch",$C244)),$D244="Chinese"),RAND(),"")</f>
        <v/>
      </c>
      <c r="L244" s="27">
        <f>IF(AND(ISNUMBER(SEARCH("Lunch",$C244)),$D244="Western"),RAND(),"")</f>
        <v/>
      </c>
      <c r="M244" s="27">
        <f>IF(AND(ISNUMBER(SEARCH("Dinner",$C244)),$D244="Asian"),RAND(),"")</f>
        <v/>
      </c>
      <c r="N244" s="27">
        <f>IF(AND(ISNUMBER(SEARCH("Dinner",$C244)),$D244="Chinese"),RAND(),"")</f>
        <v/>
      </c>
      <c r="O244" s="27">
        <f>IF(AND(ISNUMBER(SEARCH("Dinner",$C244)),$D244="Western"),RAND(),"")</f>
        <v/>
      </c>
    </row>
    <row r="245" ht="15.75" customHeight="1" s="36">
      <c r="A245" s="22" t="inlineStr">
        <is>
          <t>Matcha Chia Seed Pudding</t>
        </is>
      </c>
      <c r="B245" s="22" t="inlineStr">
        <is>
          <t>Chia Seed, Oats, Matcha, Maple Syrup, Vanilla Essence, Almond slices, Blueberry</t>
        </is>
      </c>
      <c r="C245" s="21" t="inlineStr">
        <is>
          <t>Breakfast</t>
        </is>
      </c>
      <c r="D245" s="33" t="inlineStr">
        <is>
          <t>Western</t>
        </is>
      </c>
      <c r="E245" s="21" t="inlineStr">
        <is>
          <t>Low</t>
        </is>
      </c>
      <c r="F245" s="23" t="inlineStr">
        <is>
          <t>https://www.instagram.com/p/B1gtwJjFACz/?igsh=MXBpc3JqOG93anVoYw==</t>
        </is>
      </c>
      <c r="G245" s="28">
        <f>IF(AND(ISNUMBER(SEARCH("Breakfast",$C245)),$D245="Asian"),RAND(),"")</f>
        <v/>
      </c>
      <c r="H245" s="28">
        <f>IF(AND(ISNUMBER(SEARCH("Breakfast",$C245)),$D245="Chinese"),RAND(),"")</f>
        <v/>
      </c>
      <c r="I245" s="28">
        <f>IF(AND(ISNUMBER(SEARCH("Breakfast",$C245)),$D245="Western"),RAND(),"")</f>
        <v/>
      </c>
      <c r="J245" s="28">
        <f>IF(AND(ISNUMBER(SEARCH("Lunch",$C245)),$D245="Asian"),RAND(),"")</f>
        <v/>
      </c>
      <c r="K245" s="28">
        <f>IF(AND(ISNUMBER(SEARCH("Lunch",$C245)),$D245="Chinese"),RAND(),"")</f>
        <v/>
      </c>
      <c r="L245" s="28">
        <f>IF(AND(ISNUMBER(SEARCH("Lunch",$C245)),$D245="Western"),RAND(),"")</f>
        <v/>
      </c>
      <c r="M245" s="28">
        <f>IF(AND(ISNUMBER(SEARCH("Dinner",$C245)),$D245="Asian"),RAND(),"")</f>
        <v/>
      </c>
      <c r="N245" s="28">
        <f>IF(AND(ISNUMBER(SEARCH("Dinner",$C245)),$D245="Chinese"),RAND(),"")</f>
        <v/>
      </c>
      <c r="O245" s="28">
        <f>IF(AND(ISNUMBER(SEARCH("Dinner",$C245)),$D245="Western"),RAND(),"")</f>
        <v/>
      </c>
    </row>
    <row r="246" ht="15.75" customHeight="1" s="36">
      <c r="A246" s="18" t="inlineStr">
        <is>
          <t>Mayo Egg Sandwich</t>
        </is>
      </c>
      <c r="B246" s="18" t="inlineStr">
        <is>
          <t>—</t>
        </is>
      </c>
      <c r="C246" s="17" t="inlineStr">
        <is>
          <t>Dinner</t>
        </is>
      </c>
      <c r="D246" s="30" t="inlineStr">
        <is>
          <t>Western</t>
        </is>
      </c>
      <c r="E246" s="17" t="inlineStr">
        <is>
          <t>Med</t>
        </is>
      </c>
      <c r="F246" s="18" t="n"/>
      <c r="G246" s="27">
        <f>IF(AND(ISNUMBER(SEARCH("Breakfast",$C246)),$D246="Asian"),RAND(),"")</f>
        <v/>
      </c>
      <c r="H246" s="27">
        <f>IF(AND(ISNUMBER(SEARCH("Breakfast",$C246)),$D246="Chinese"),RAND(),"")</f>
        <v/>
      </c>
      <c r="I246" s="27">
        <f>IF(AND(ISNUMBER(SEARCH("Breakfast",$C246)),$D246="Western"),RAND(),"")</f>
        <v/>
      </c>
      <c r="J246" s="27">
        <f>IF(AND(ISNUMBER(SEARCH("Lunch",$C246)),$D246="Asian"),RAND(),"")</f>
        <v/>
      </c>
      <c r="K246" s="27">
        <f>IF(AND(ISNUMBER(SEARCH("Lunch",$C246)),$D246="Chinese"),RAND(),"")</f>
        <v/>
      </c>
      <c r="L246" s="27">
        <f>IF(AND(ISNUMBER(SEARCH("Lunch",$C246)),$D246="Western"),RAND(),"")</f>
        <v/>
      </c>
      <c r="M246" s="27">
        <f>IF(AND(ISNUMBER(SEARCH("Dinner",$C246)),$D246="Asian"),RAND(),"")</f>
        <v/>
      </c>
      <c r="N246" s="27">
        <f>IF(AND(ISNUMBER(SEARCH("Dinner",$C246)),$D246="Chinese"),RAND(),"")</f>
        <v/>
      </c>
      <c r="O246" s="27">
        <f>IF(AND(ISNUMBER(SEARCH("Dinner",$C246)),$D246="Western"),RAND(),"")</f>
        <v/>
      </c>
    </row>
    <row r="247" ht="15.75" customHeight="1" s="36">
      <c r="A247" s="22" t="inlineStr">
        <is>
          <t>Mediterranean cod</t>
        </is>
      </c>
      <c r="B247" s="22" t="inlineStr">
        <is>
          <t>Lemon Juice, Butter, Olive Oil, Flour, Sugar, Paprika, Garlic, Cod Fish, Coriander</t>
        </is>
      </c>
      <c r="C247" s="21" t="inlineStr">
        <is>
          <t>Dinner</t>
        </is>
      </c>
      <c r="D247" s="30" t="inlineStr">
        <is>
          <t>Western</t>
        </is>
      </c>
      <c r="E247" s="21" t="inlineStr">
        <is>
          <t>Med</t>
        </is>
      </c>
      <c r="F247" s="22" t="n"/>
      <c r="G247" s="28">
        <f>IF(AND(ISNUMBER(SEARCH("Breakfast",$C247)),$D247="Asian"),RAND(),"")</f>
        <v/>
      </c>
      <c r="H247" s="28">
        <f>IF(AND(ISNUMBER(SEARCH("Breakfast",$C247)),$D247="Chinese"),RAND(),"")</f>
        <v/>
      </c>
      <c r="I247" s="28">
        <f>IF(AND(ISNUMBER(SEARCH("Breakfast",$C247)),$D247="Western"),RAND(),"")</f>
        <v/>
      </c>
      <c r="J247" s="28">
        <f>IF(AND(ISNUMBER(SEARCH("Lunch",$C247)),$D247="Asian"),RAND(),"")</f>
        <v/>
      </c>
      <c r="K247" s="28">
        <f>IF(AND(ISNUMBER(SEARCH("Lunch",$C247)),$D247="Chinese"),RAND(),"")</f>
        <v/>
      </c>
      <c r="L247" s="28">
        <f>IF(AND(ISNUMBER(SEARCH("Lunch",$C247)),$D247="Western"),RAND(),"")</f>
        <v/>
      </c>
      <c r="M247" s="28">
        <f>IF(AND(ISNUMBER(SEARCH("Dinner",$C247)),$D247="Asian"),RAND(),"")</f>
        <v/>
      </c>
      <c r="N247" s="28">
        <f>IF(AND(ISNUMBER(SEARCH("Dinner",$C247)),$D247="Chinese"),RAND(),"")</f>
        <v/>
      </c>
      <c r="O247" s="28">
        <f>IF(AND(ISNUMBER(SEARCH("Dinner",$C247)),$D247="Western"),RAND(),"")</f>
        <v/>
      </c>
    </row>
    <row r="248" ht="15.75" customHeight="1" s="36">
      <c r="A248" s="18" t="inlineStr">
        <is>
          <t>Mediterrean Shrimp</t>
        </is>
      </c>
      <c r="B248" s="18" t="inlineStr">
        <is>
          <t>Shrimp, Flour, Paprika, Coriander, Red and yellow pepper, Butter, Red Onions, Garlic, Bell Peppers, Diced Tomato, White wine, Lemon Juice</t>
        </is>
      </c>
      <c r="C248" s="17" t="inlineStr">
        <is>
          <t>Dinner</t>
        </is>
      </c>
      <c r="D248" s="33" t="inlineStr">
        <is>
          <t>Western</t>
        </is>
      </c>
      <c r="E248" s="17" t="inlineStr">
        <is>
          <t>Low</t>
        </is>
      </c>
      <c r="F248" s="19" t="inlineStr">
        <is>
          <t>https://youtu.be/3rz71XwruEs</t>
        </is>
      </c>
      <c r="G248" s="27">
        <f>IF(AND(ISNUMBER(SEARCH("Breakfast",$C248)),$D248="Asian"),RAND(),"")</f>
        <v/>
      </c>
      <c r="H248" s="27">
        <f>IF(AND(ISNUMBER(SEARCH("Breakfast",$C248)),$D248="Chinese"),RAND(),"")</f>
        <v/>
      </c>
      <c r="I248" s="27">
        <f>IF(AND(ISNUMBER(SEARCH("Breakfast",$C248)),$D248="Western"),RAND(),"")</f>
        <v/>
      </c>
      <c r="J248" s="27">
        <f>IF(AND(ISNUMBER(SEARCH("Lunch",$C248)),$D248="Asian"),RAND(),"")</f>
        <v/>
      </c>
      <c r="K248" s="27">
        <f>IF(AND(ISNUMBER(SEARCH("Lunch",$C248)),$D248="Chinese"),RAND(),"")</f>
        <v/>
      </c>
      <c r="L248" s="27">
        <f>IF(AND(ISNUMBER(SEARCH("Lunch",$C248)),$D248="Western"),RAND(),"")</f>
        <v/>
      </c>
      <c r="M248" s="27">
        <f>IF(AND(ISNUMBER(SEARCH("Dinner",$C248)),$D248="Asian"),RAND(),"")</f>
        <v/>
      </c>
      <c r="N248" s="27">
        <f>IF(AND(ISNUMBER(SEARCH("Dinner",$C248)),$D248="Chinese"),RAND(),"")</f>
        <v/>
      </c>
      <c r="O248" s="27">
        <f>IF(AND(ISNUMBER(SEARCH("Dinner",$C248)),$D248="Western"),RAND(),"")</f>
        <v/>
      </c>
    </row>
    <row r="249" ht="15.75" customHeight="1" s="36">
      <c r="A249" s="22" t="inlineStr">
        <is>
          <t>Mee hoon kway</t>
        </is>
      </c>
      <c r="B249" s="22" t="inlineStr">
        <is>
          <t>All purpose flour, Baking Soda, Chicken Stock, Ginger, Ikan Billis, Dong Gu, Garlic, Shallots, Oyster Sauce, Light Soy Sauce, Dark Soy Sauce, Shaoxing Wine, Pepper, Minced Meat, White Pepper</t>
        </is>
      </c>
      <c r="C249" s="21" t="inlineStr">
        <is>
          <t>Lunch</t>
        </is>
      </c>
      <c r="D249" s="26" t="inlineStr">
        <is>
          <t>Chinese</t>
        </is>
      </c>
      <c r="E249" s="21" t="inlineStr">
        <is>
          <t>High</t>
        </is>
      </c>
      <c r="F249" s="22" t="n"/>
      <c r="G249" s="28">
        <f>IF(AND(ISNUMBER(SEARCH("Breakfast",$C249)),$D249="Asian"),RAND(),"")</f>
        <v/>
      </c>
      <c r="H249" s="28">
        <f>IF(AND(ISNUMBER(SEARCH("Breakfast",$C249)),$D249="Chinese"),RAND(),"")</f>
        <v/>
      </c>
      <c r="I249" s="28">
        <f>IF(AND(ISNUMBER(SEARCH("Breakfast",$C249)),$D249="Western"),RAND(),"")</f>
        <v/>
      </c>
      <c r="J249" s="28">
        <f>IF(AND(ISNUMBER(SEARCH("Lunch",$C249)),$D249="Asian"),RAND(),"")</f>
        <v/>
      </c>
      <c r="K249" s="28">
        <f>IF(AND(ISNUMBER(SEARCH("Lunch",$C249)),$D249="Chinese"),RAND(),"")</f>
        <v/>
      </c>
      <c r="L249" s="28">
        <f>IF(AND(ISNUMBER(SEARCH("Lunch",$C249)),$D249="Western"),RAND(),"")</f>
        <v/>
      </c>
      <c r="M249" s="28">
        <f>IF(AND(ISNUMBER(SEARCH("Dinner",$C249)),$D249="Asian"),RAND(),"")</f>
        <v/>
      </c>
      <c r="N249" s="28">
        <f>IF(AND(ISNUMBER(SEARCH("Dinner",$C249)),$D249="Chinese"),RAND(),"")</f>
        <v/>
      </c>
      <c r="O249" s="28">
        <f>IF(AND(ISNUMBER(SEARCH("Dinner",$C249)),$D249="Western"),RAND(),"")</f>
        <v/>
      </c>
    </row>
    <row r="250" ht="15.75" customHeight="1" s="36">
      <c r="A250" s="18" t="inlineStr">
        <is>
          <t>Mee Pok</t>
        </is>
      </c>
      <c r="B250" s="18" t="inlineStr">
        <is>
          <t>Mee Pok Noodles, Minced Pork, Lettuce, Dong Gu, Rock Sugar, Soya Sauce, Dark Soya Sauce, Oyster Sauce, Fish Sauce, Black Vinegar, Sesame Oil</t>
        </is>
      </c>
      <c r="C250" s="17" t="inlineStr">
        <is>
          <t>Lunch</t>
        </is>
      </c>
      <c r="D250" s="29" t="inlineStr">
        <is>
          <t>Asian</t>
        </is>
      </c>
      <c r="E250" s="17" t="inlineStr">
        <is>
          <t>Low</t>
        </is>
      </c>
      <c r="F250" s="19" t="inlineStr">
        <is>
          <t>https://youtu.be/EGOezxADJzs</t>
        </is>
      </c>
      <c r="G250" s="27">
        <f>IF(AND(ISNUMBER(SEARCH("Breakfast",$C250)),$D250="Asian"),RAND(),"")</f>
        <v/>
      </c>
      <c r="H250" s="27">
        <f>IF(AND(ISNUMBER(SEARCH("Breakfast",$C250)),$D250="Chinese"),RAND(),"")</f>
        <v/>
      </c>
      <c r="I250" s="27">
        <f>IF(AND(ISNUMBER(SEARCH("Breakfast",$C250)),$D250="Western"),RAND(),"")</f>
        <v/>
      </c>
      <c r="J250" s="27">
        <f>IF(AND(ISNUMBER(SEARCH("Lunch",$C250)),$D250="Asian"),RAND(),"")</f>
        <v/>
      </c>
      <c r="K250" s="27">
        <f>IF(AND(ISNUMBER(SEARCH("Lunch",$C250)),$D250="Chinese"),RAND(),"")</f>
        <v/>
      </c>
      <c r="L250" s="27">
        <f>IF(AND(ISNUMBER(SEARCH("Lunch",$C250)),$D250="Western"),RAND(),"")</f>
        <v/>
      </c>
      <c r="M250" s="27">
        <f>IF(AND(ISNUMBER(SEARCH("Dinner",$C250)),$D250="Asian"),RAND(),"")</f>
        <v/>
      </c>
      <c r="N250" s="27">
        <f>IF(AND(ISNUMBER(SEARCH("Dinner",$C250)),$D250="Chinese"),RAND(),"")</f>
        <v/>
      </c>
      <c r="O250" s="27">
        <f>IF(AND(ISNUMBER(SEARCH("Dinner",$C250)),$D250="Western"),RAND(),"")</f>
        <v/>
      </c>
    </row>
    <row r="251" ht="15.75" customHeight="1" s="36">
      <c r="A251" s="22" t="inlineStr">
        <is>
          <t>Mentaiko noodles</t>
        </is>
      </c>
      <c r="B251" s="22" t="inlineStr">
        <is>
          <t>—</t>
        </is>
      </c>
      <c r="C251" s="21" t="inlineStr">
        <is>
          <t>Dinner</t>
        </is>
      </c>
      <c r="D251" s="29" t="inlineStr">
        <is>
          <t>Asian</t>
        </is>
      </c>
      <c r="E251" s="21" t="inlineStr">
        <is>
          <t>Med</t>
        </is>
      </c>
      <c r="F251" s="22" t="n"/>
      <c r="G251" s="28">
        <f>IF(AND(ISNUMBER(SEARCH("Breakfast",$C251)),$D251="Asian"),RAND(),"")</f>
        <v/>
      </c>
      <c r="H251" s="28">
        <f>IF(AND(ISNUMBER(SEARCH("Breakfast",$C251)),$D251="Chinese"),RAND(),"")</f>
        <v/>
      </c>
      <c r="I251" s="28">
        <f>IF(AND(ISNUMBER(SEARCH("Breakfast",$C251)),$D251="Western"),RAND(),"")</f>
        <v/>
      </c>
      <c r="J251" s="28">
        <f>IF(AND(ISNUMBER(SEARCH("Lunch",$C251)),$D251="Asian"),RAND(),"")</f>
        <v/>
      </c>
      <c r="K251" s="28">
        <f>IF(AND(ISNUMBER(SEARCH("Lunch",$C251)),$D251="Chinese"),RAND(),"")</f>
        <v/>
      </c>
      <c r="L251" s="28">
        <f>IF(AND(ISNUMBER(SEARCH("Lunch",$C251)),$D251="Western"),RAND(),"")</f>
        <v/>
      </c>
      <c r="M251" s="28">
        <f>IF(AND(ISNUMBER(SEARCH("Dinner",$C251)),$D251="Asian"),RAND(),"")</f>
        <v/>
      </c>
      <c r="N251" s="28">
        <f>IF(AND(ISNUMBER(SEARCH("Dinner",$C251)),$D251="Chinese"),RAND(),"")</f>
        <v/>
      </c>
      <c r="O251" s="28">
        <f>IF(AND(ISNUMBER(SEARCH("Dinner",$C251)),$D251="Western"),RAND(),"")</f>
        <v/>
      </c>
    </row>
    <row r="252" ht="15.75" customHeight="1" s="36">
      <c r="A252" s="18" t="inlineStr">
        <is>
          <t>Mentaiko Potato Salad</t>
        </is>
      </c>
      <c r="B252" s="18" t="inlineStr">
        <is>
          <t>Potato, Onion, Mentaiko, Eggs</t>
        </is>
      </c>
      <c r="C252" s="17" t="inlineStr">
        <is>
          <t>Dinner</t>
        </is>
      </c>
      <c r="D252" s="30" t="inlineStr">
        <is>
          <t>Western</t>
        </is>
      </c>
      <c r="E252" s="17" t="inlineStr">
        <is>
          <t>Med</t>
        </is>
      </c>
      <c r="F252" s="19" t="inlineStr">
        <is>
          <t>https://www.instagram.com/p/DNm1Ri5zZW5/?img_index=9&amp;igsh=aXdpa29tZ2k4cW5q</t>
        </is>
      </c>
      <c r="G252" s="27">
        <f>IF(AND(ISNUMBER(SEARCH("Breakfast",$C252)),$D252="Asian"),RAND(),"")</f>
        <v/>
      </c>
      <c r="H252" s="27">
        <f>IF(AND(ISNUMBER(SEARCH("Breakfast",$C252)),$D252="Chinese"),RAND(),"")</f>
        <v/>
      </c>
      <c r="I252" s="27">
        <f>IF(AND(ISNUMBER(SEARCH("Breakfast",$C252)),$D252="Western"),RAND(),"")</f>
        <v/>
      </c>
      <c r="J252" s="27">
        <f>IF(AND(ISNUMBER(SEARCH("Lunch",$C252)),$D252="Asian"),RAND(),"")</f>
        <v/>
      </c>
      <c r="K252" s="27">
        <f>IF(AND(ISNUMBER(SEARCH("Lunch",$C252)),$D252="Chinese"),RAND(),"")</f>
        <v/>
      </c>
      <c r="L252" s="27">
        <f>IF(AND(ISNUMBER(SEARCH("Lunch",$C252)),$D252="Western"),RAND(),"")</f>
        <v/>
      </c>
      <c r="M252" s="27">
        <f>IF(AND(ISNUMBER(SEARCH("Dinner",$C252)),$D252="Asian"),RAND(),"")</f>
        <v/>
      </c>
      <c r="N252" s="27">
        <f>IF(AND(ISNUMBER(SEARCH("Dinner",$C252)),$D252="Chinese"),RAND(),"")</f>
        <v/>
      </c>
      <c r="O252" s="27">
        <f>IF(AND(ISNUMBER(SEARCH("Dinner",$C252)),$D252="Western"),RAND(),"")</f>
        <v/>
      </c>
    </row>
    <row r="253" ht="15.75" customHeight="1" s="36">
      <c r="A253" s="22" t="inlineStr">
        <is>
          <t>mentaiko Rice</t>
        </is>
      </c>
      <c r="B253" s="22" t="inlineStr">
        <is>
          <t>Rice, Sake, Soy Sauce, Mentaiko, Shimeiji Mushroom, Butter, Chicken poweder</t>
        </is>
      </c>
      <c r="C253" s="21" t="inlineStr">
        <is>
          <t>Lunch</t>
        </is>
      </c>
      <c r="D253" s="29" t="inlineStr">
        <is>
          <t>Asian</t>
        </is>
      </c>
      <c r="E253" s="21" t="inlineStr">
        <is>
          <t>High</t>
        </is>
      </c>
      <c r="F253" s="23" t="inlineStr">
        <is>
          <t>https://www.instagram.com/reel/DPTeEQkD-1m/?utm_source=ig_web_button_share_sheet</t>
        </is>
      </c>
      <c r="G253" s="28">
        <f>IF(AND(ISNUMBER(SEARCH("Breakfast",$C253)),$D253="Asian"),RAND(),"")</f>
        <v/>
      </c>
      <c r="H253" s="28">
        <f>IF(AND(ISNUMBER(SEARCH("Breakfast",$C253)),$D253="Chinese"),RAND(),"")</f>
        <v/>
      </c>
      <c r="I253" s="28">
        <f>IF(AND(ISNUMBER(SEARCH("Breakfast",$C253)),$D253="Western"),RAND(),"")</f>
        <v/>
      </c>
      <c r="J253" s="28">
        <f>IF(AND(ISNUMBER(SEARCH("Lunch",$C253)),$D253="Asian"),RAND(),"")</f>
        <v/>
      </c>
      <c r="K253" s="28">
        <f>IF(AND(ISNUMBER(SEARCH("Lunch",$C253)),$D253="Chinese"),RAND(),"")</f>
        <v/>
      </c>
      <c r="L253" s="28">
        <f>IF(AND(ISNUMBER(SEARCH("Lunch",$C253)),$D253="Western"),RAND(),"")</f>
        <v/>
      </c>
      <c r="M253" s="28">
        <f>IF(AND(ISNUMBER(SEARCH("Dinner",$C253)),$D253="Asian"),RAND(),"")</f>
        <v/>
      </c>
      <c r="N253" s="28">
        <f>IF(AND(ISNUMBER(SEARCH("Dinner",$C253)),$D253="Chinese"),RAND(),"")</f>
        <v/>
      </c>
      <c r="O253" s="28">
        <f>IF(AND(ISNUMBER(SEARCH("Dinner",$C253)),$D253="Western"),RAND(),"")</f>
        <v/>
      </c>
    </row>
    <row r="254" ht="15.75" customHeight="1" s="36">
      <c r="A254" s="18" t="inlineStr">
        <is>
          <t>Microwave hotpot</t>
        </is>
      </c>
      <c r="B254" s="18" t="inlineStr">
        <is>
          <t>Bak Choy, Cabbage, Enoki Mushroom, Sesame Oil, Yuzu Ponzu</t>
        </is>
      </c>
      <c r="C254" s="17" t="inlineStr">
        <is>
          <t>Lunch</t>
        </is>
      </c>
      <c r="D254" s="29" t="inlineStr">
        <is>
          <t>Asian</t>
        </is>
      </c>
      <c r="E254" s="17" t="inlineStr">
        <is>
          <t>High</t>
        </is>
      </c>
      <c r="F254" s="19" t="inlineStr">
        <is>
          <t>https://www.instagram.com/reel/C8DRs6Jy6mm/?igsh=d3lzY3k0bmc0MDkz</t>
        </is>
      </c>
      <c r="G254" s="27">
        <f>IF(AND(ISNUMBER(SEARCH("Breakfast",$C254)),$D254="Asian"),RAND(),"")</f>
        <v/>
      </c>
      <c r="H254" s="27">
        <f>IF(AND(ISNUMBER(SEARCH("Breakfast",$C254)),$D254="Chinese"),RAND(),"")</f>
        <v/>
      </c>
      <c r="I254" s="27">
        <f>IF(AND(ISNUMBER(SEARCH("Breakfast",$C254)),$D254="Western"),RAND(),"")</f>
        <v/>
      </c>
      <c r="J254" s="27">
        <f>IF(AND(ISNUMBER(SEARCH("Lunch",$C254)),$D254="Asian"),RAND(),"")</f>
        <v/>
      </c>
      <c r="K254" s="27">
        <f>IF(AND(ISNUMBER(SEARCH("Lunch",$C254)),$D254="Chinese"),RAND(),"")</f>
        <v/>
      </c>
      <c r="L254" s="27">
        <f>IF(AND(ISNUMBER(SEARCH("Lunch",$C254)),$D254="Western"),RAND(),"")</f>
        <v/>
      </c>
      <c r="M254" s="27">
        <f>IF(AND(ISNUMBER(SEARCH("Dinner",$C254)),$D254="Asian"),RAND(),"")</f>
        <v/>
      </c>
      <c r="N254" s="27">
        <f>IF(AND(ISNUMBER(SEARCH("Dinner",$C254)),$D254="Chinese"),RAND(),"")</f>
        <v/>
      </c>
      <c r="O254" s="27">
        <f>IF(AND(ISNUMBER(SEARCH("Dinner",$C254)),$D254="Western"),RAND(),"")</f>
        <v/>
      </c>
    </row>
    <row r="255" ht="15.75" customHeight="1" s="36">
      <c r="A255" s="22" t="inlineStr">
        <is>
          <t>Milk Bread</t>
        </is>
      </c>
      <c r="B255" s="22" t="inlineStr">
        <is>
          <t>Yeast, Flour, Milk, Sugar, Salt, Egg, Butter, Garlic Butter</t>
        </is>
      </c>
      <c r="C255" s="21" t="inlineStr">
        <is>
          <t>Breakfast</t>
        </is>
      </c>
      <c r="D255" s="33" t="inlineStr">
        <is>
          <t>Western</t>
        </is>
      </c>
      <c r="E255" s="21" t="inlineStr">
        <is>
          <t>Low</t>
        </is>
      </c>
      <c r="F255" s="23" t="inlineStr">
        <is>
          <t>https://www.instagram.com/reel/CnuQuPFKu_o/?igshid=YmMyMTA2M2Y=</t>
        </is>
      </c>
      <c r="G255" s="28">
        <f>IF(AND(ISNUMBER(SEARCH("Breakfast",$C255)),$D255="Asian"),RAND(),"")</f>
        <v/>
      </c>
      <c r="H255" s="28">
        <f>IF(AND(ISNUMBER(SEARCH("Breakfast",$C255)),$D255="Chinese"),RAND(),"")</f>
        <v/>
      </c>
      <c r="I255" s="28">
        <f>IF(AND(ISNUMBER(SEARCH("Breakfast",$C255)),$D255="Western"),RAND(),"")</f>
        <v/>
      </c>
      <c r="J255" s="28">
        <f>IF(AND(ISNUMBER(SEARCH("Lunch",$C255)),$D255="Asian"),RAND(),"")</f>
        <v/>
      </c>
      <c r="K255" s="28">
        <f>IF(AND(ISNUMBER(SEARCH("Lunch",$C255)),$D255="Chinese"),RAND(),"")</f>
        <v/>
      </c>
      <c r="L255" s="28">
        <f>IF(AND(ISNUMBER(SEARCH("Lunch",$C255)),$D255="Western"),RAND(),"")</f>
        <v/>
      </c>
      <c r="M255" s="28">
        <f>IF(AND(ISNUMBER(SEARCH("Dinner",$C255)),$D255="Asian"),RAND(),"")</f>
        <v/>
      </c>
      <c r="N255" s="28">
        <f>IF(AND(ISNUMBER(SEARCH("Dinner",$C255)),$D255="Chinese"),RAND(),"")</f>
        <v/>
      </c>
      <c r="O255" s="28">
        <f>IF(AND(ISNUMBER(SEARCH("Dinner",$C255)),$D255="Western"),RAND(),"")</f>
        <v/>
      </c>
    </row>
    <row r="256" ht="15.75" customHeight="1" s="36">
      <c r="A256" s="18" t="inlineStr">
        <is>
          <t>Millet</t>
        </is>
      </c>
      <c r="B256" s="18" t="inlineStr">
        <is>
          <t>Milk, Vanilla Extract, Maple Syrup, Cocoa Powder, Cinnamon, Banana, Berries, Almond Flakes</t>
        </is>
      </c>
      <c r="C256" s="17" t="inlineStr">
        <is>
          <t>Breakfast</t>
        </is>
      </c>
      <c r="D256" s="33" t="inlineStr">
        <is>
          <t>Western</t>
        </is>
      </c>
      <c r="E256" s="17" t="inlineStr">
        <is>
          <t>Low</t>
        </is>
      </c>
      <c r="F256" s="19" t="inlineStr">
        <is>
          <t>https://youtu.be/tRbM0Pztebk</t>
        </is>
      </c>
      <c r="G256" s="27">
        <f>IF(AND(ISNUMBER(SEARCH("Breakfast",$C256)),$D256="Asian"),RAND(),"")</f>
        <v/>
      </c>
      <c r="H256" s="27">
        <f>IF(AND(ISNUMBER(SEARCH("Breakfast",$C256)),$D256="Chinese"),RAND(),"")</f>
        <v/>
      </c>
      <c r="I256" s="27">
        <f>IF(AND(ISNUMBER(SEARCH("Breakfast",$C256)),$D256="Western"),RAND(),"")</f>
        <v/>
      </c>
      <c r="J256" s="27">
        <f>IF(AND(ISNUMBER(SEARCH("Lunch",$C256)),$D256="Asian"),RAND(),"")</f>
        <v/>
      </c>
      <c r="K256" s="27">
        <f>IF(AND(ISNUMBER(SEARCH("Lunch",$C256)),$D256="Chinese"),RAND(),"")</f>
        <v/>
      </c>
      <c r="L256" s="27">
        <f>IF(AND(ISNUMBER(SEARCH("Lunch",$C256)),$D256="Western"),RAND(),"")</f>
        <v/>
      </c>
      <c r="M256" s="27">
        <f>IF(AND(ISNUMBER(SEARCH("Dinner",$C256)),$D256="Asian"),RAND(),"")</f>
        <v/>
      </c>
      <c r="N256" s="27">
        <f>IF(AND(ISNUMBER(SEARCH("Dinner",$C256)),$D256="Chinese"),RAND(),"")</f>
        <v/>
      </c>
      <c r="O256" s="27">
        <f>IF(AND(ISNUMBER(SEARCH("Dinner",$C256)),$D256="Western"),RAND(),"")</f>
        <v/>
      </c>
    </row>
    <row r="257" ht="15.75" customHeight="1" s="36">
      <c r="A257" s="22" t="inlineStr">
        <is>
          <t>Miso Baked Cod</t>
        </is>
      </c>
      <c r="B257" s="22" t="inlineStr">
        <is>
          <t>Cod Fillet, Sake, Miso, Mirin</t>
        </is>
      </c>
      <c r="C257" s="21" t="inlineStr">
        <is>
          <t>Dinner</t>
        </is>
      </c>
      <c r="D257" s="29" t="inlineStr">
        <is>
          <t>Asian</t>
        </is>
      </c>
      <c r="E257" s="21" t="inlineStr">
        <is>
          <t>High</t>
        </is>
      </c>
      <c r="F257" s="23" t="inlineStr">
        <is>
          <t>https://www.instagram.com/p/CSanhLOB_YV/?utm_medium=copy_link</t>
        </is>
      </c>
      <c r="G257" s="28">
        <f>IF(AND(ISNUMBER(SEARCH("Breakfast",$C257)),$D257="Asian"),RAND(),"")</f>
        <v/>
      </c>
      <c r="H257" s="28">
        <f>IF(AND(ISNUMBER(SEARCH("Breakfast",$C257)),$D257="Chinese"),RAND(),"")</f>
        <v/>
      </c>
      <c r="I257" s="28">
        <f>IF(AND(ISNUMBER(SEARCH("Breakfast",$C257)),$D257="Western"),RAND(),"")</f>
        <v/>
      </c>
      <c r="J257" s="28">
        <f>IF(AND(ISNUMBER(SEARCH("Lunch",$C257)),$D257="Asian"),RAND(),"")</f>
        <v/>
      </c>
      <c r="K257" s="28">
        <f>IF(AND(ISNUMBER(SEARCH("Lunch",$C257)),$D257="Chinese"),RAND(),"")</f>
        <v/>
      </c>
      <c r="L257" s="28">
        <f>IF(AND(ISNUMBER(SEARCH("Lunch",$C257)),$D257="Western"),RAND(),"")</f>
        <v/>
      </c>
      <c r="M257" s="28">
        <f>IF(AND(ISNUMBER(SEARCH("Dinner",$C257)),$D257="Asian"),RAND(),"")</f>
        <v/>
      </c>
      <c r="N257" s="28">
        <f>IF(AND(ISNUMBER(SEARCH("Dinner",$C257)),$D257="Chinese"),RAND(),"")</f>
        <v/>
      </c>
      <c r="O257" s="28">
        <f>IF(AND(ISNUMBER(SEARCH("Dinner",$C257)),$D257="Western"),RAND(),"")</f>
        <v/>
      </c>
    </row>
    <row r="258" ht="15.75" customHeight="1" s="36">
      <c r="A258" s="18" t="inlineStr">
        <is>
          <t>Miso butter</t>
        </is>
      </c>
      <c r="B258" s="18" t="inlineStr">
        <is>
          <t>—</t>
        </is>
      </c>
      <c r="C258" s="17" t="inlineStr">
        <is>
          <t>Breakfast</t>
        </is>
      </c>
      <c r="D258" s="29" t="inlineStr">
        <is>
          <t>Asian</t>
        </is>
      </c>
      <c r="E258" s="17" t="inlineStr">
        <is>
          <t>Med</t>
        </is>
      </c>
      <c r="F258" s="18" t="n"/>
      <c r="G258" s="27">
        <f>IF(AND(ISNUMBER(SEARCH("Breakfast",$C258)),$D258="Asian"),RAND(),"")</f>
        <v/>
      </c>
      <c r="H258" s="27">
        <f>IF(AND(ISNUMBER(SEARCH("Breakfast",$C258)),$D258="Chinese"),RAND(),"")</f>
        <v/>
      </c>
      <c r="I258" s="27">
        <f>IF(AND(ISNUMBER(SEARCH("Breakfast",$C258)),$D258="Western"),RAND(),"")</f>
        <v/>
      </c>
      <c r="J258" s="27">
        <f>IF(AND(ISNUMBER(SEARCH("Lunch",$C258)),$D258="Asian"),RAND(),"")</f>
        <v/>
      </c>
      <c r="K258" s="27">
        <f>IF(AND(ISNUMBER(SEARCH("Lunch",$C258)),$D258="Chinese"),RAND(),"")</f>
        <v/>
      </c>
      <c r="L258" s="27">
        <f>IF(AND(ISNUMBER(SEARCH("Lunch",$C258)),$D258="Western"),RAND(),"")</f>
        <v/>
      </c>
      <c r="M258" s="27">
        <f>IF(AND(ISNUMBER(SEARCH("Dinner",$C258)),$D258="Asian"),RAND(),"")</f>
        <v/>
      </c>
      <c r="N258" s="27">
        <f>IF(AND(ISNUMBER(SEARCH("Dinner",$C258)),$D258="Chinese"),RAND(),"")</f>
        <v/>
      </c>
      <c r="O258" s="27">
        <f>IF(AND(ISNUMBER(SEARCH("Dinner",$C258)),$D258="Western"),RAND(),"")</f>
        <v/>
      </c>
    </row>
    <row r="259" ht="15.75" customHeight="1" s="36">
      <c r="A259" s="22" t="inlineStr">
        <is>
          <t>Miso butter Linguine</t>
        </is>
      </c>
      <c r="B259" s="22" t="inlineStr">
        <is>
          <t>Miso, Butter, Linguine</t>
        </is>
      </c>
      <c r="C259" s="21" t="inlineStr">
        <is>
          <t>Lunch</t>
        </is>
      </c>
      <c r="D259" s="30" t="inlineStr">
        <is>
          <t>Western</t>
        </is>
      </c>
      <c r="E259" s="21" t="inlineStr">
        <is>
          <t>Low</t>
        </is>
      </c>
      <c r="F259" s="23" t="inlineStr">
        <is>
          <t>https://www.instagram.com/reel/C0fBz6USIjR/?igsh=MXYzb3FjamYwaDYxeg==</t>
        </is>
      </c>
      <c r="G259" s="28">
        <f>IF(AND(ISNUMBER(SEARCH("Breakfast",$C259)),$D259="Asian"),RAND(),"")</f>
        <v/>
      </c>
      <c r="H259" s="28">
        <f>IF(AND(ISNUMBER(SEARCH("Breakfast",$C259)),$D259="Chinese"),RAND(),"")</f>
        <v/>
      </c>
      <c r="I259" s="28">
        <f>IF(AND(ISNUMBER(SEARCH("Breakfast",$C259)),$D259="Western"),RAND(),"")</f>
        <v/>
      </c>
      <c r="J259" s="28">
        <f>IF(AND(ISNUMBER(SEARCH("Lunch",$C259)),$D259="Asian"),RAND(),"")</f>
        <v/>
      </c>
      <c r="K259" s="28">
        <f>IF(AND(ISNUMBER(SEARCH("Lunch",$C259)),$D259="Chinese"),RAND(),"")</f>
        <v/>
      </c>
      <c r="L259" s="28">
        <f>IF(AND(ISNUMBER(SEARCH("Lunch",$C259)),$D259="Western"),RAND(),"")</f>
        <v/>
      </c>
      <c r="M259" s="28">
        <f>IF(AND(ISNUMBER(SEARCH("Dinner",$C259)),$D259="Asian"),RAND(),"")</f>
        <v/>
      </c>
      <c r="N259" s="28">
        <f>IF(AND(ISNUMBER(SEARCH("Dinner",$C259)),$D259="Chinese"),RAND(),"")</f>
        <v/>
      </c>
      <c r="O259" s="28">
        <f>IF(AND(ISNUMBER(SEARCH("Dinner",$C259)),$D259="Western"),RAND(),"")</f>
        <v/>
      </c>
    </row>
    <row r="260" ht="15.75" customHeight="1" s="36">
      <c r="A260" s="18" t="inlineStr">
        <is>
          <t>Miso Chicken</t>
        </is>
      </c>
      <c r="B260" s="18" t="inlineStr">
        <is>
          <t>Onion, Chicken Thigh, Miso, Spring Onion, Garlic</t>
        </is>
      </c>
      <c r="C260" s="17" t="inlineStr">
        <is>
          <t>Dinner</t>
        </is>
      </c>
      <c r="D260" s="29" t="inlineStr">
        <is>
          <t>Asian</t>
        </is>
      </c>
      <c r="E260" s="17" t="inlineStr">
        <is>
          <t>Med</t>
        </is>
      </c>
      <c r="F260" s="19" t="inlineStr">
        <is>
          <t>https://icook.tw/recipes/409399?utm_source=copy&amp;utm_medium=sharev3&amp;utm_campaign=recipe-share</t>
        </is>
      </c>
      <c r="G260" s="27">
        <f>IF(AND(ISNUMBER(SEARCH("Breakfast",$C260)),$D260="Asian"),RAND(),"")</f>
        <v/>
      </c>
      <c r="H260" s="27">
        <f>IF(AND(ISNUMBER(SEARCH("Breakfast",$C260)),$D260="Chinese"),RAND(),"")</f>
        <v/>
      </c>
      <c r="I260" s="27">
        <f>IF(AND(ISNUMBER(SEARCH("Breakfast",$C260)),$D260="Western"),RAND(),"")</f>
        <v/>
      </c>
      <c r="J260" s="27">
        <f>IF(AND(ISNUMBER(SEARCH("Lunch",$C260)),$D260="Asian"),RAND(),"")</f>
        <v/>
      </c>
      <c r="K260" s="27">
        <f>IF(AND(ISNUMBER(SEARCH("Lunch",$C260)),$D260="Chinese"),RAND(),"")</f>
        <v/>
      </c>
      <c r="L260" s="27">
        <f>IF(AND(ISNUMBER(SEARCH("Lunch",$C260)),$D260="Western"),RAND(),"")</f>
        <v/>
      </c>
      <c r="M260" s="27">
        <f>IF(AND(ISNUMBER(SEARCH("Dinner",$C260)),$D260="Asian"),RAND(),"")</f>
        <v/>
      </c>
      <c r="N260" s="27">
        <f>IF(AND(ISNUMBER(SEARCH("Dinner",$C260)),$D260="Chinese"),RAND(),"")</f>
        <v/>
      </c>
      <c r="O260" s="27">
        <f>IF(AND(ISNUMBER(SEARCH("Dinner",$C260)),$D260="Western"),RAND(),"")</f>
        <v/>
      </c>
    </row>
    <row r="261" ht="15.75" customHeight="1" s="36">
      <c r="A261" s="22" t="inlineStr">
        <is>
          <t>Miso Chicken Soup</t>
        </is>
      </c>
      <c r="B261" s="22" t="inlineStr">
        <is>
          <t>Chicken Thigh, Onion, Tomato, Wawa cai, King Oyster Mushroom, Soy Milk, Miso, Spring Onion</t>
        </is>
      </c>
      <c r="C261" s="21" t="inlineStr">
        <is>
          <t>Dinner</t>
        </is>
      </c>
      <c r="D261" s="29" t="inlineStr">
        <is>
          <t>Asian</t>
        </is>
      </c>
      <c r="E261" s="21" t="inlineStr">
        <is>
          <t>Med</t>
        </is>
      </c>
      <c r="F261" s="23" t="inlineStr">
        <is>
          <t>https://www.instagram.com/reel/C8Rcdpkx8Ku/?igsh=MXFiOWNya3ZkcngxbQ==</t>
        </is>
      </c>
      <c r="G261" s="28">
        <f>IF(AND(ISNUMBER(SEARCH("Breakfast",$C261)),$D261="Asian"),RAND(),"")</f>
        <v/>
      </c>
      <c r="H261" s="28">
        <f>IF(AND(ISNUMBER(SEARCH("Breakfast",$C261)),$D261="Chinese"),RAND(),"")</f>
        <v/>
      </c>
      <c r="I261" s="28">
        <f>IF(AND(ISNUMBER(SEARCH("Breakfast",$C261)),$D261="Western"),RAND(),"")</f>
        <v/>
      </c>
      <c r="J261" s="28">
        <f>IF(AND(ISNUMBER(SEARCH("Lunch",$C261)),$D261="Asian"),RAND(),"")</f>
        <v/>
      </c>
      <c r="K261" s="28">
        <f>IF(AND(ISNUMBER(SEARCH("Lunch",$C261)),$D261="Chinese"),RAND(),"")</f>
        <v/>
      </c>
      <c r="L261" s="28">
        <f>IF(AND(ISNUMBER(SEARCH("Lunch",$C261)),$D261="Western"),RAND(),"")</f>
        <v/>
      </c>
      <c r="M261" s="28">
        <f>IF(AND(ISNUMBER(SEARCH("Dinner",$C261)),$D261="Asian"),RAND(),"")</f>
        <v/>
      </c>
      <c r="N261" s="28">
        <f>IF(AND(ISNUMBER(SEARCH("Dinner",$C261)),$D261="Chinese"),RAND(),"")</f>
        <v/>
      </c>
      <c r="O261" s="28">
        <f>IF(AND(ISNUMBER(SEARCH("Dinner",$C261)),$D261="Western"),RAND(),"")</f>
        <v/>
      </c>
      <c r="P261" s="0" t="b">
        <v>1</v>
      </c>
    </row>
    <row r="262" ht="15.75" customHeight="1" s="36">
      <c r="A262" s="18" t="inlineStr">
        <is>
          <t>Miso enoki spinach</t>
        </is>
      </c>
      <c r="B262" s="18" t="inlineStr">
        <is>
          <t>enoki mushroom, spinach, sesame, miso</t>
        </is>
      </c>
      <c r="C262" s="17" t="inlineStr">
        <is>
          <t>Dinner</t>
        </is>
      </c>
      <c r="D262" s="29" t="inlineStr">
        <is>
          <t>Asian</t>
        </is>
      </c>
      <c r="E262" s="17" t="inlineStr">
        <is>
          <t>Med</t>
        </is>
      </c>
      <c r="F262" s="19" t="inlineStr">
        <is>
          <t>https://www.instagram.com/reel/DWd-lFwh2Sr/?igsh=aTBpZjZhaWMweGRt</t>
        </is>
      </c>
      <c r="G262" s="27">
        <f>IF(AND(ISNUMBER(SEARCH("Breakfast",$C262)),$D262="Asian"),RAND(),"")</f>
        <v/>
      </c>
      <c r="H262" s="27">
        <f>IF(AND(ISNUMBER(SEARCH("Breakfast",$C262)),$D262="Chinese"),RAND(),"")</f>
        <v/>
      </c>
      <c r="I262" s="27">
        <f>IF(AND(ISNUMBER(SEARCH("Breakfast",$C262)),$D262="Western"),RAND(),"")</f>
        <v/>
      </c>
      <c r="J262" s="27">
        <f>IF(AND(ISNUMBER(SEARCH("Lunch",$C262)),$D262="Asian"),RAND(),"")</f>
        <v/>
      </c>
      <c r="K262" s="27">
        <f>IF(AND(ISNUMBER(SEARCH("Lunch",$C262)),$D262="Chinese"),RAND(),"")</f>
        <v/>
      </c>
      <c r="L262" s="27">
        <f>IF(AND(ISNUMBER(SEARCH("Lunch",$C262)),$D262="Western"),RAND(),"")</f>
        <v/>
      </c>
      <c r="M262" s="27">
        <f>IF(AND(ISNUMBER(SEARCH("Dinner",$C262)),$D262="Asian"),RAND(),"")</f>
        <v/>
      </c>
      <c r="N262" s="27">
        <f>IF(AND(ISNUMBER(SEARCH("Dinner",$C262)),$D262="Chinese"),RAND(),"")</f>
        <v/>
      </c>
      <c r="O262" s="27">
        <f>IF(AND(ISNUMBER(SEARCH("Dinner",$C262)),$D262="Western"),RAND(),"")</f>
        <v/>
      </c>
    </row>
    <row r="263" ht="15.75" customHeight="1" s="36">
      <c r="A263" s="22" t="inlineStr">
        <is>
          <t>Miso honey salmon salad</t>
        </is>
      </c>
      <c r="B263" s="22" t="inlineStr">
        <is>
          <t>miso, shallot, sesame, lemon, salmon, quinoa, roasted kale, sweet potato, broccolini, cashew</t>
        </is>
      </c>
      <c r="C263" s="21" t="inlineStr">
        <is>
          <t>Lunch</t>
        </is>
      </c>
      <c r="D263" s="30" t="inlineStr">
        <is>
          <t>Western</t>
        </is>
      </c>
      <c r="E263" s="21" t="inlineStr">
        <is>
          <t>Low</t>
        </is>
      </c>
      <c r="F263" s="23" t="inlineStr">
        <is>
          <t>https://www.instagram.com/reel/DPWEqqFE_DB/?igsh=bTAza3JmZXc1Ymky</t>
        </is>
      </c>
      <c r="G263" s="28">
        <f>IF(AND(ISNUMBER(SEARCH("Breakfast",$C263)),$D263="Asian"),RAND(),"")</f>
        <v/>
      </c>
      <c r="H263" s="28">
        <f>IF(AND(ISNUMBER(SEARCH("Breakfast",$C263)),$D263="Chinese"),RAND(),"")</f>
        <v/>
      </c>
      <c r="I263" s="28">
        <f>IF(AND(ISNUMBER(SEARCH("Breakfast",$C263)),$D263="Western"),RAND(),"")</f>
        <v/>
      </c>
      <c r="J263" s="28">
        <f>IF(AND(ISNUMBER(SEARCH("Lunch",$C263)),$D263="Asian"),RAND(),"")</f>
        <v/>
      </c>
      <c r="K263" s="28">
        <f>IF(AND(ISNUMBER(SEARCH("Lunch",$C263)),$D263="Chinese"),RAND(),"")</f>
        <v/>
      </c>
      <c r="L263" s="28">
        <f>IF(AND(ISNUMBER(SEARCH("Lunch",$C263)),$D263="Western"),RAND(),"")</f>
        <v/>
      </c>
      <c r="M263" s="28">
        <f>IF(AND(ISNUMBER(SEARCH("Dinner",$C263)),$D263="Asian"),RAND(),"")</f>
        <v/>
      </c>
      <c r="N263" s="28">
        <f>IF(AND(ISNUMBER(SEARCH("Dinner",$C263)),$D263="Chinese"),RAND(),"")</f>
        <v/>
      </c>
      <c r="O263" s="28">
        <f>IF(AND(ISNUMBER(SEARCH("Dinner",$C263)),$D263="Western"),RAND(),"")</f>
        <v/>
      </c>
    </row>
    <row r="264" ht="15.75" customHeight="1" s="36">
      <c r="A264" s="18" t="inlineStr">
        <is>
          <t>Miso Mushroom Pasta</t>
        </is>
      </c>
      <c r="B264" s="18" t="inlineStr">
        <is>
          <t>Pasta, Any Mushroom, Vegetable Oil, Balsamic Vinegar, Red Miso Paste, Butter, Heavy Cream, Garlic, Green Onion, Salt Black Pepper</t>
        </is>
      </c>
      <c r="C264" s="17" t="inlineStr">
        <is>
          <t>Dinner</t>
        </is>
      </c>
      <c r="D264" s="30" t="inlineStr">
        <is>
          <t>Western</t>
        </is>
      </c>
      <c r="E264" s="17" t="inlineStr">
        <is>
          <t>Med</t>
        </is>
      </c>
      <c r="F264" s="19" t="inlineStr">
        <is>
          <t>https://www.instagram.com/reel/DHlQq3gzzvX/?igsh=dGFvcTVwb3pwNDFv</t>
        </is>
      </c>
      <c r="G264" s="27">
        <f>IF(AND(ISNUMBER(SEARCH("Breakfast",$C264)),$D264="Asian"),RAND(),"")</f>
        <v/>
      </c>
      <c r="H264" s="27">
        <f>IF(AND(ISNUMBER(SEARCH("Breakfast",$C264)),$D264="Chinese"),RAND(),"")</f>
        <v/>
      </c>
      <c r="I264" s="27">
        <f>IF(AND(ISNUMBER(SEARCH("Breakfast",$C264)),$D264="Western"),RAND(),"")</f>
        <v/>
      </c>
      <c r="J264" s="27">
        <f>IF(AND(ISNUMBER(SEARCH("Lunch",$C264)),$D264="Asian"),RAND(),"")</f>
        <v/>
      </c>
      <c r="K264" s="27">
        <f>IF(AND(ISNUMBER(SEARCH("Lunch",$C264)),$D264="Chinese"),RAND(),"")</f>
        <v/>
      </c>
      <c r="L264" s="27">
        <f>IF(AND(ISNUMBER(SEARCH("Lunch",$C264)),$D264="Western"),RAND(),"")</f>
        <v/>
      </c>
      <c r="M264" s="27">
        <f>IF(AND(ISNUMBER(SEARCH("Dinner",$C264)),$D264="Asian"),RAND(),"")</f>
        <v/>
      </c>
      <c r="N264" s="27">
        <f>IF(AND(ISNUMBER(SEARCH("Dinner",$C264)),$D264="Chinese"),RAND(),"")</f>
        <v/>
      </c>
      <c r="O264" s="27">
        <f>IF(AND(ISNUMBER(SEARCH("Dinner",$C264)),$D264="Western"),RAND(),"")</f>
        <v/>
      </c>
    </row>
    <row r="265" ht="15.75" customHeight="1" s="36">
      <c r="A265" s="22" t="inlineStr">
        <is>
          <t>Miso Oats</t>
        </is>
      </c>
      <c r="B265" s="22" t="inlineStr">
        <is>
          <t>Oats, Fish Stock, Miso Paste, Parmesan, Shimeiji Mushroom, Spinach, Egg</t>
        </is>
      </c>
      <c r="C265" s="21" t="inlineStr">
        <is>
          <t>Lunch</t>
        </is>
      </c>
      <c r="D265" s="30" t="inlineStr">
        <is>
          <t>Western</t>
        </is>
      </c>
      <c r="E265" s="21" t="inlineStr">
        <is>
          <t>Med</t>
        </is>
      </c>
      <c r="F265" s="23" t="inlineStr">
        <is>
          <t>https://www.instagram.com/reel/C5PT9xfvnVK/?igsh=dWtzNTNyd2lwZGNi</t>
        </is>
      </c>
      <c r="G265" s="28">
        <f>IF(AND(ISNUMBER(SEARCH("Breakfast",$C265)),$D265="Asian"),RAND(),"")</f>
        <v/>
      </c>
      <c r="H265" s="28">
        <f>IF(AND(ISNUMBER(SEARCH("Breakfast",$C265)),$D265="Chinese"),RAND(),"")</f>
        <v/>
      </c>
      <c r="I265" s="28">
        <f>IF(AND(ISNUMBER(SEARCH("Breakfast",$C265)),$D265="Western"),RAND(),"")</f>
        <v/>
      </c>
      <c r="J265" s="28">
        <f>IF(AND(ISNUMBER(SEARCH("Lunch",$C265)),$D265="Asian"),RAND(),"")</f>
        <v/>
      </c>
      <c r="K265" s="28">
        <f>IF(AND(ISNUMBER(SEARCH("Lunch",$C265)),$D265="Chinese"),RAND(),"")</f>
        <v/>
      </c>
      <c r="L265" s="28">
        <f>IF(AND(ISNUMBER(SEARCH("Lunch",$C265)),$D265="Western"),RAND(),"")</f>
        <v/>
      </c>
      <c r="M265" s="28">
        <f>IF(AND(ISNUMBER(SEARCH("Dinner",$C265)),$D265="Asian"),RAND(),"")</f>
        <v/>
      </c>
      <c r="N265" s="28">
        <f>IF(AND(ISNUMBER(SEARCH("Dinner",$C265)),$D265="Chinese"),RAND(),"")</f>
        <v/>
      </c>
      <c r="O265" s="28">
        <f>IF(AND(ISNUMBER(SEARCH("Dinner",$C265)),$D265="Western"),RAND(),"")</f>
        <v/>
      </c>
    </row>
    <row r="266" ht="15.75" customHeight="1" s="36">
      <c r="A266" s="18" t="inlineStr">
        <is>
          <t>Miso roasted tofu with sweet potato</t>
        </is>
      </c>
      <c r="B266" s="18" t="inlineStr">
        <is>
          <t>Miso, Tofu, Sweet potato, Sesame oil, Soya sauce, Starch, Apple cider vinegar, Garlic, Ginger, Chilli flakes, Honey, Seaweed sheet, White sesame</t>
        </is>
      </c>
      <c r="C266" s="17" t="inlineStr">
        <is>
          <t>Lunch</t>
        </is>
      </c>
      <c r="D266" s="29" t="inlineStr">
        <is>
          <t>Asian</t>
        </is>
      </c>
      <c r="E266" s="17" t="inlineStr">
        <is>
          <t>Low</t>
        </is>
      </c>
      <c r="F266" s="19" t="inlineStr">
        <is>
          <t>https://www.kitchenstories.com/en/recipes/miso-roasted-tofu-with-sweet-potato</t>
        </is>
      </c>
      <c r="G266" s="27">
        <f>IF(AND(ISNUMBER(SEARCH("Breakfast",$C266)),$D266="Asian"),RAND(),"")</f>
        <v/>
      </c>
      <c r="H266" s="27">
        <f>IF(AND(ISNUMBER(SEARCH("Breakfast",$C266)),$D266="Chinese"),RAND(),"")</f>
        <v/>
      </c>
      <c r="I266" s="27">
        <f>IF(AND(ISNUMBER(SEARCH("Breakfast",$C266)),$D266="Western"),RAND(),"")</f>
        <v/>
      </c>
      <c r="J266" s="27">
        <f>IF(AND(ISNUMBER(SEARCH("Lunch",$C266)),$D266="Asian"),RAND(),"")</f>
        <v/>
      </c>
      <c r="K266" s="27">
        <f>IF(AND(ISNUMBER(SEARCH("Lunch",$C266)),$D266="Chinese"),RAND(),"")</f>
        <v/>
      </c>
      <c r="L266" s="27">
        <f>IF(AND(ISNUMBER(SEARCH("Lunch",$C266)),$D266="Western"),RAND(),"")</f>
        <v/>
      </c>
      <c r="M266" s="27">
        <f>IF(AND(ISNUMBER(SEARCH("Dinner",$C266)),$D266="Asian"),RAND(),"")</f>
        <v/>
      </c>
      <c r="N266" s="27">
        <f>IF(AND(ISNUMBER(SEARCH("Dinner",$C266)),$D266="Chinese"),RAND(),"")</f>
        <v/>
      </c>
      <c r="O266" s="27">
        <f>IF(AND(ISNUMBER(SEARCH("Dinner",$C266)),$D266="Western"),RAND(),"")</f>
        <v/>
      </c>
    </row>
    <row r="267" ht="15.75" customHeight="1" s="36">
      <c r="A267" s="22" t="inlineStr">
        <is>
          <t>Miso Salmon</t>
        </is>
      </c>
      <c r="B267" s="22" t="inlineStr">
        <is>
          <t>White Miso, Sake, Mirin, Soy Sauce, Sesame Oil</t>
        </is>
      </c>
      <c r="C267" s="21" t="inlineStr">
        <is>
          <t>Dinner</t>
        </is>
      </c>
      <c r="D267" s="29" t="inlineStr">
        <is>
          <t>Asian</t>
        </is>
      </c>
      <c r="E267" s="21" t="inlineStr">
        <is>
          <t>High</t>
        </is>
      </c>
      <c r="F267" s="22" t="n"/>
      <c r="G267" s="28">
        <f>IF(AND(ISNUMBER(SEARCH("Breakfast",$C267)),$D267="Asian"),RAND(),"")</f>
        <v/>
      </c>
      <c r="H267" s="28">
        <f>IF(AND(ISNUMBER(SEARCH("Breakfast",$C267)),$D267="Chinese"),RAND(),"")</f>
        <v/>
      </c>
      <c r="I267" s="28">
        <f>IF(AND(ISNUMBER(SEARCH("Breakfast",$C267)),$D267="Western"),RAND(),"")</f>
        <v/>
      </c>
      <c r="J267" s="28">
        <f>IF(AND(ISNUMBER(SEARCH("Lunch",$C267)),$D267="Asian"),RAND(),"")</f>
        <v/>
      </c>
      <c r="K267" s="28">
        <f>IF(AND(ISNUMBER(SEARCH("Lunch",$C267)),$D267="Chinese"),RAND(),"")</f>
        <v/>
      </c>
      <c r="L267" s="28">
        <f>IF(AND(ISNUMBER(SEARCH("Lunch",$C267)),$D267="Western"),RAND(),"")</f>
        <v/>
      </c>
      <c r="M267" s="28">
        <f>IF(AND(ISNUMBER(SEARCH("Dinner",$C267)),$D267="Asian"),RAND(),"")</f>
        <v/>
      </c>
      <c r="N267" s="28">
        <f>IF(AND(ISNUMBER(SEARCH("Dinner",$C267)),$D267="Chinese"),RAND(),"")</f>
        <v/>
      </c>
      <c r="O267" s="28">
        <f>IF(AND(ISNUMBER(SEARCH("Dinner",$C267)),$D267="Western"),RAND(),"")</f>
        <v/>
      </c>
    </row>
    <row r="268" ht="15.75" customHeight="1" s="36">
      <c r="A268" s="18" t="inlineStr">
        <is>
          <t>Mixed Bread</t>
        </is>
      </c>
      <c r="B268" s="18" t="inlineStr">
        <is>
          <t>Corn Kernel, Tomato Paste, Bacon, Cheese</t>
        </is>
      </c>
      <c r="C268" s="17" t="inlineStr">
        <is>
          <t>Breakfast</t>
        </is>
      </c>
      <c r="D268" s="30" t="inlineStr">
        <is>
          <t>Western</t>
        </is>
      </c>
      <c r="E268" s="17" t="inlineStr">
        <is>
          <t>Med</t>
        </is>
      </c>
      <c r="F268" s="19" t="inlineStr">
        <is>
          <t>https://www.instagram.com/p/CX_IA5Kvt9a/?igsh=MXUyOTdrZnNsOW5qYw==</t>
        </is>
      </c>
      <c r="G268" s="27">
        <f>IF(AND(ISNUMBER(SEARCH("Breakfast",$C268)),$D268="Asian"),RAND(),"")</f>
        <v/>
      </c>
      <c r="H268" s="27">
        <f>IF(AND(ISNUMBER(SEARCH("Breakfast",$C268)),$D268="Chinese"),RAND(),"")</f>
        <v/>
      </c>
      <c r="I268" s="27">
        <f>IF(AND(ISNUMBER(SEARCH("Breakfast",$C268)),$D268="Western"),RAND(),"")</f>
        <v/>
      </c>
      <c r="J268" s="27">
        <f>IF(AND(ISNUMBER(SEARCH("Lunch",$C268)),$D268="Asian"),RAND(),"")</f>
        <v/>
      </c>
      <c r="K268" s="27">
        <f>IF(AND(ISNUMBER(SEARCH("Lunch",$C268)),$D268="Chinese"),RAND(),"")</f>
        <v/>
      </c>
      <c r="L268" s="27">
        <f>IF(AND(ISNUMBER(SEARCH("Lunch",$C268)),$D268="Western"),RAND(),"")</f>
        <v/>
      </c>
      <c r="M268" s="27">
        <f>IF(AND(ISNUMBER(SEARCH("Dinner",$C268)),$D268="Asian"),RAND(),"")</f>
        <v/>
      </c>
      <c r="N268" s="27">
        <f>IF(AND(ISNUMBER(SEARCH("Dinner",$C268)),$D268="Chinese"),RAND(),"")</f>
        <v/>
      </c>
      <c r="O268" s="27">
        <f>IF(AND(ISNUMBER(SEARCH("Dinner",$C268)),$D268="Western"),RAND(),"")</f>
        <v/>
      </c>
    </row>
    <row r="269" ht="15.75" customHeight="1" s="36">
      <c r="A269" s="22" t="inlineStr">
        <is>
          <t>Mixed Vege</t>
        </is>
      </c>
      <c r="B269" s="22" t="inlineStr">
        <is>
          <t>Carrot, Garlic, Cabbage, Snow Peas, Mushroom, Lotus Roots, Squid, Broccoli, Rice wine</t>
        </is>
      </c>
      <c r="C269" s="21" t="inlineStr">
        <is>
          <t>Dinner</t>
        </is>
      </c>
      <c r="D269" s="26" t="inlineStr">
        <is>
          <t>Chinese</t>
        </is>
      </c>
      <c r="E269" s="21" t="inlineStr">
        <is>
          <t>Med</t>
        </is>
      </c>
      <c r="F269" s="23" t="inlineStr">
        <is>
          <t>https://icook.tw/recipes/271469?utm_source=copy&amp;utm_medium=sharev3&amp;utm_campaign=recipe-share</t>
        </is>
      </c>
      <c r="G269" s="28">
        <f>IF(AND(ISNUMBER(SEARCH("Breakfast",$C269)),$D269="Asian"),RAND(),"")</f>
        <v/>
      </c>
      <c r="H269" s="28">
        <f>IF(AND(ISNUMBER(SEARCH("Breakfast",$C269)),$D269="Chinese"),RAND(),"")</f>
        <v/>
      </c>
      <c r="I269" s="28">
        <f>IF(AND(ISNUMBER(SEARCH("Breakfast",$C269)),$D269="Western"),RAND(),"")</f>
        <v/>
      </c>
      <c r="J269" s="28">
        <f>IF(AND(ISNUMBER(SEARCH("Lunch",$C269)),$D269="Asian"),RAND(),"")</f>
        <v/>
      </c>
      <c r="K269" s="28">
        <f>IF(AND(ISNUMBER(SEARCH("Lunch",$C269)),$D269="Chinese"),RAND(),"")</f>
        <v/>
      </c>
      <c r="L269" s="28">
        <f>IF(AND(ISNUMBER(SEARCH("Lunch",$C269)),$D269="Western"),RAND(),"")</f>
        <v/>
      </c>
      <c r="M269" s="28">
        <f>IF(AND(ISNUMBER(SEARCH("Dinner",$C269)),$D269="Asian"),RAND(),"")</f>
        <v/>
      </c>
      <c r="N269" s="28">
        <f>IF(AND(ISNUMBER(SEARCH("Dinner",$C269)),$D269="Chinese"),RAND(),"")</f>
        <v/>
      </c>
      <c r="O269" s="28">
        <f>IF(AND(ISNUMBER(SEARCH("Dinner",$C269)),$D269="Western"),RAND(),"")</f>
        <v/>
      </c>
    </row>
    <row r="270" ht="15.75" customHeight="1" s="36">
      <c r="A270" s="18" t="inlineStr">
        <is>
          <t>mom azchar</t>
        </is>
      </c>
      <c r="B270" s="18" t="inlineStr">
        <is>
          <t>Rojak flower, Pineapple, cucumber, 沙葛, Sweet Thai chili</t>
        </is>
      </c>
      <c r="C270" s="17" t="inlineStr">
        <is>
          <t>Dinner</t>
        </is>
      </c>
      <c r="D270" s="29" t="inlineStr">
        <is>
          <t>Asian</t>
        </is>
      </c>
      <c r="E270" s="17" t="inlineStr">
        <is>
          <t>Low</t>
        </is>
      </c>
      <c r="F270" s="18" t="n"/>
      <c r="G270" s="27">
        <f>IF(AND(ISNUMBER(SEARCH("Breakfast",$C270)),$D270="Asian"),RAND(),"")</f>
        <v/>
      </c>
      <c r="H270" s="27">
        <f>IF(AND(ISNUMBER(SEARCH("Breakfast",$C270)),$D270="Chinese"),RAND(),"")</f>
        <v/>
      </c>
      <c r="I270" s="27">
        <f>IF(AND(ISNUMBER(SEARCH("Breakfast",$C270)),$D270="Western"),RAND(),"")</f>
        <v/>
      </c>
      <c r="J270" s="27">
        <f>IF(AND(ISNUMBER(SEARCH("Lunch",$C270)),$D270="Asian"),RAND(),"")</f>
        <v/>
      </c>
      <c r="K270" s="27">
        <f>IF(AND(ISNUMBER(SEARCH("Lunch",$C270)),$D270="Chinese"),RAND(),"")</f>
        <v/>
      </c>
      <c r="L270" s="27">
        <f>IF(AND(ISNUMBER(SEARCH("Lunch",$C270)),$D270="Western"),RAND(),"")</f>
        <v/>
      </c>
      <c r="M270" s="27">
        <f>IF(AND(ISNUMBER(SEARCH("Dinner",$C270)),$D270="Asian"),RAND(),"")</f>
        <v/>
      </c>
      <c r="N270" s="27">
        <f>IF(AND(ISNUMBER(SEARCH("Dinner",$C270)),$D270="Chinese"),RAND(),"")</f>
        <v/>
      </c>
      <c r="O270" s="27">
        <f>IF(AND(ISNUMBER(SEARCH("Dinner",$C270)),$D270="Western"),RAND(),"")</f>
        <v/>
      </c>
    </row>
    <row r="271" ht="15.75" customHeight="1" s="36">
      <c r="A271" s="22" t="inlineStr">
        <is>
          <t>Mom peanut porridge</t>
        </is>
      </c>
      <c r="B271" s="22" t="inlineStr">
        <is>
          <t>—</t>
        </is>
      </c>
      <c r="C271" s="21" t="inlineStr">
        <is>
          <t>Lunch</t>
        </is>
      </c>
      <c r="D271" s="33" t="inlineStr">
        <is>
          <t>Chinese</t>
        </is>
      </c>
      <c r="E271" s="21" t="inlineStr">
        <is>
          <t>Low</t>
        </is>
      </c>
      <c r="F271" s="22" t="n"/>
      <c r="G271" s="28">
        <f>IF(AND(ISNUMBER(SEARCH("Breakfast",$C271)),$D271="Asian"),RAND(),"")</f>
        <v/>
      </c>
      <c r="H271" s="28">
        <f>IF(AND(ISNUMBER(SEARCH("Breakfast",$C271)),$D271="Chinese"),RAND(),"")</f>
        <v/>
      </c>
      <c r="I271" s="28">
        <f>IF(AND(ISNUMBER(SEARCH("Breakfast",$C271)),$D271="Western"),RAND(),"")</f>
        <v/>
      </c>
      <c r="J271" s="28">
        <f>IF(AND(ISNUMBER(SEARCH("Lunch",$C271)),$D271="Asian"),RAND(),"")</f>
        <v/>
      </c>
      <c r="K271" s="28">
        <f>IF(AND(ISNUMBER(SEARCH("Lunch",$C271)),$D271="Chinese"),RAND(),"")</f>
        <v/>
      </c>
      <c r="L271" s="28">
        <f>IF(AND(ISNUMBER(SEARCH("Lunch",$C271)),$D271="Western"),RAND(),"")</f>
        <v/>
      </c>
      <c r="M271" s="28">
        <f>IF(AND(ISNUMBER(SEARCH("Dinner",$C271)),$D271="Asian"),RAND(),"")</f>
        <v/>
      </c>
      <c r="N271" s="28">
        <f>IF(AND(ISNUMBER(SEARCH("Dinner",$C271)),$D271="Chinese"),RAND(),"")</f>
        <v/>
      </c>
      <c r="O271" s="28">
        <f>IF(AND(ISNUMBER(SEARCH("Dinner",$C271)),$D271="Western"),RAND(),"")</f>
        <v/>
      </c>
    </row>
    <row r="272" ht="15.75" customHeight="1" s="36">
      <c r="A272" s="18" t="inlineStr">
        <is>
          <t>Mushroom Chicken</t>
        </is>
      </c>
      <c r="B272" s="18" t="inlineStr">
        <is>
          <t>Chicken Thigh, White Button Mushroom, Garlic, Spring Onion</t>
        </is>
      </c>
      <c r="C272" s="17" t="inlineStr">
        <is>
          <t>Dinner</t>
        </is>
      </c>
      <c r="D272" s="33" t="inlineStr">
        <is>
          <t>Western</t>
        </is>
      </c>
      <c r="E272" s="17" t="inlineStr">
        <is>
          <t>Low</t>
        </is>
      </c>
      <c r="F272" s="19" t="inlineStr">
        <is>
          <t>https://www.instagram.com/reel/CeIYHB_PDGp/?igshid=YmMyMTA2M2Y=</t>
        </is>
      </c>
      <c r="G272" s="27">
        <f>IF(AND(ISNUMBER(SEARCH("Breakfast",$C272)),$D272="Asian"),RAND(),"")</f>
        <v/>
      </c>
      <c r="H272" s="27">
        <f>IF(AND(ISNUMBER(SEARCH("Breakfast",$C272)),$D272="Chinese"),RAND(),"")</f>
        <v/>
      </c>
      <c r="I272" s="27">
        <f>IF(AND(ISNUMBER(SEARCH("Breakfast",$C272)),$D272="Western"),RAND(),"")</f>
        <v/>
      </c>
      <c r="J272" s="27">
        <f>IF(AND(ISNUMBER(SEARCH("Lunch",$C272)),$D272="Asian"),RAND(),"")</f>
        <v/>
      </c>
      <c r="K272" s="27">
        <f>IF(AND(ISNUMBER(SEARCH("Lunch",$C272)),$D272="Chinese"),RAND(),"")</f>
        <v/>
      </c>
      <c r="L272" s="27">
        <f>IF(AND(ISNUMBER(SEARCH("Lunch",$C272)),$D272="Western"),RAND(),"")</f>
        <v/>
      </c>
      <c r="M272" s="27">
        <f>IF(AND(ISNUMBER(SEARCH("Dinner",$C272)),$D272="Asian"),RAND(),"")</f>
        <v/>
      </c>
      <c r="N272" s="27">
        <f>IF(AND(ISNUMBER(SEARCH("Dinner",$C272)),$D272="Chinese"),RAND(),"")</f>
        <v/>
      </c>
      <c r="O272" s="27">
        <f>IF(AND(ISNUMBER(SEARCH("Dinner",$C272)),$D272="Western"),RAND(),"")</f>
        <v/>
      </c>
    </row>
    <row r="273" ht="15.75" customHeight="1" s="36">
      <c r="A273" s="22" t="inlineStr">
        <is>
          <t>Mushroom Chicken Soup</t>
        </is>
      </c>
      <c r="B273" s="32" t="inlineStr">
        <is>
          <t>香菇, Ginger, Chicken Thigh, Garlic, Green Onion, Goji Berry, Red Dates, Sweet Corn</t>
        </is>
      </c>
      <c r="C273" s="21" t="inlineStr">
        <is>
          <t>Dinner</t>
        </is>
      </c>
      <c r="D273" s="26" t="inlineStr">
        <is>
          <t>Chinese</t>
        </is>
      </c>
      <c r="E273" s="21" t="inlineStr">
        <is>
          <t>High</t>
        </is>
      </c>
      <c r="F273" s="23" t="inlineStr">
        <is>
          <t>https://www.soupupgroup.com/blog/posts/mushroom-chicken-soup</t>
        </is>
      </c>
      <c r="G273" s="28">
        <f>IF(AND(ISNUMBER(SEARCH("Breakfast",$C273)),$D273="Asian"),RAND(),"")</f>
        <v/>
      </c>
      <c r="H273" s="28">
        <f>IF(AND(ISNUMBER(SEARCH("Breakfast",$C273)),$D273="Chinese"),RAND(),"")</f>
        <v/>
      </c>
      <c r="I273" s="28">
        <f>IF(AND(ISNUMBER(SEARCH("Breakfast",$C273)),$D273="Western"),RAND(),"")</f>
        <v/>
      </c>
      <c r="J273" s="28">
        <f>IF(AND(ISNUMBER(SEARCH("Lunch",$C273)),$D273="Asian"),RAND(),"")</f>
        <v/>
      </c>
      <c r="K273" s="28">
        <f>IF(AND(ISNUMBER(SEARCH("Lunch",$C273)),$D273="Chinese"),RAND(),"")</f>
        <v/>
      </c>
      <c r="L273" s="28">
        <f>IF(AND(ISNUMBER(SEARCH("Lunch",$C273)),$D273="Western"),RAND(),"")</f>
        <v/>
      </c>
      <c r="M273" s="28">
        <f>IF(AND(ISNUMBER(SEARCH("Dinner",$C273)),$D273="Asian"),RAND(),"")</f>
        <v/>
      </c>
      <c r="N273" s="28">
        <f>IF(AND(ISNUMBER(SEARCH("Dinner",$C273)),$D273="Chinese"),RAND(),"")</f>
        <v/>
      </c>
      <c r="O273" s="28">
        <f>IF(AND(ISNUMBER(SEARCH("Dinner",$C273)),$D273="Western"),RAND(),"")</f>
        <v/>
      </c>
      <c r="P273" s="0" t="b">
        <v>1</v>
      </c>
    </row>
    <row r="274" ht="15.75" customHeight="1" s="36">
      <c r="A274" s="18" t="inlineStr">
        <is>
          <t>Mushroom Pasta</t>
        </is>
      </c>
      <c r="B274" s="18" t="inlineStr">
        <is>
          <t>King Oyster Mushroom, Salt, Oil, Soy Sauce, Wasabi, Sesame Seeds, Egg</t>
        </is>
      </c>
      <c r="C274" s="17" t="inlineStr">
        <is>
          <t>Lunch</t>
        </is>
      </c>
      <c r="D274" s="30" t="inlineStr">
        <is>
          <t>Western</t>
        </is>
      </c>
      <c r="E274" s="17" t="inlineStr">
        <is>
          <t>Med</t>
        </is>
      </c>
      <c r="F274" s="19" t="inlineStr">
        <is>
          <t>https://www.instagram.com/reel/C8RLg2nyJwA/?igsh=Z3JlMWhqM3E1ZnI3</t>
        </is>
      </c>
      <c r="G274" s="27">
        <f>IF(AND(ISNUMBER(SEARCH("Breakfast",$C274)),$D274="Asian"),RAND(),"")</f>
        <v/>
      </c>
      <c r="H274" s="27">
        <f>IF(AND(ISNUMBER(SEARCH("Breakfast",$C274)),$D274="Chinese"),RAND(),"")</f>
        <v/>
      </c>
      <c r="I274" s="27">
        <f>IF(AND(ISNUMBER(SEARCH("Breakfast",$C274)),$D274="Western"),RAND(),"")</f>
        <v/>
      </c>
      <c r="J274" s="27">
        <f>IF(AND(ISNUMBER(SEARCH("Lunch",$C274)),$D274="Asian"),RAND(),"")</f>
        <v/>
      </c>
      <c r="K274" s="27">
        <f>IF(AND(ISNUMBER(SEARCH("Lunch",$C274)),$D274="Chinese"),RAND(),"")</f>
        <v/>
      </c>
      <c r="L274" s="27">
        <f>IF(AND(ISNUMBER(SEARCH("Lunch",$C274)),$D274="Western"),RAND(),"")</f>
        <v/>
      </c>
      <c r="M274" s="27">
        <f>IF(AND(ISNUMBER(SEARCH("Dinner",$C274)),$D274="Asian"),RAND(),"")</f>
        <v/>
      </c>
      <c r="N274" s="27">
        <f>IF(AND(ISNUMBER(SEARCH("Dinner",$C274)),$D274="Chinese"),RAND(),"")</f>
        <v/>
      </c>
      <c r="O274" s="27">
        <f>IF(AND(ISNUMBER(SEARCH("Dinner",$C274)),$D274="Western"),RAND(),"")</f>
        <v/>
      </c>
    </row>
    <row r="275" ht="15.75" customHeight="1" s="36">
      <c r="A275" s="22" t="inlineStr">
        <is>
          <t>Mushroom Rice</t>
        </is>
      </c>
      <c r="B275" s="22" t="inlineStr">
        <is>
          <t>Brown Button Mushroom, Chicken Stock, Butter, Flour, Rice</t>
        </is>
      </c>
      <c r="C275" s="21" t="inlineStr">
        <is>
          <t>Lunch</t>
        </is>
      </c>
      <c r="D275" s="33" t="inlineStr">
        <is>
          <t>Western</t>
        </is>
      </c>
      <c r="E275" s="21" t="inlineStr">
        <is>
          <t>Low</t>
        </is>
      </c>
      <c r="F275" s="23" t="inlineStr">
        <is>
          <t>https://youtu.be/WbfhSR5OSFQ</t>
        </is>
      </c>
      <c r="G275" s="28">
        <f>IF(AND(ISNUMBER(SEARCH("Breakfast",$C275)),$D275="Asian"),RAND(),"")</f>
        <v/>
      </c>
      <c r="H275" s="28">
        <f>IF(AND(ISNUMBER(SEARCH("Breakfast",$C275)),$D275="Chinese"),RAND(),"")</f>
        <v/>
      </c>
      <c r="I275" s="28">
        <f>IF(AND(ISNUMBER(SEARCH("Breakfast",$C275)),$D275="Western"),RAND(),"")</f>
        <v/>
      </c>
      <c r="J275" s="28">
        <f>IF(AND(ISNUMBER(SEARCH("Lunch",$C275)),$D275="Asian"),RAND(),"")</f>
        <v/>
      </c>
      <c r="K275" s="28">
        <f>IF(AND(ISNUMBER(SEARCH("Lunch",$C275)),$D275="Chinese"),RAND(),"")</f>
        <v/>
      </c>
      <c r="L275" s="28">
        <f>IF(AND(ISNUMBER(SEARCH("Lunch",$C275)),$D275="Western"),RAND(),"")</f>
        <v/>
      </c>
      <c r="M275" s="28">
        <f>IF(AND(ISNUMBER(SEARCH("Dinner",$C275)),$D275="Asian"),RAND(),"")</f>
        <v/>
      </c>
      <c r="N275" s="28">
        <f>IF(AND(ISNUMBER(SEARCH("Dinner",$C275)),$D275="Chinese"),RAND(),"")</f>
        <v/>
      </c>
      <c r="O275" s="28">
        <f>IF(AND(ISNUMBER(SEARCH("Dinner",$C275)),$D275="Western"),RAND(),"")</f>
        <v/>
      </c>
    </row>
    <row r="276" ht="15.75" customHeight="1" s="36">
      <c r="A276" s="18" t="inlineStr">
        <is>
          <t>Mushroom Risotto</t>
        </is>
      </c>
      <c r="B276" s="18" t="inlineStr">
        <is>
          <t>—</t>
        </is>
      </c>
      <c r="C276" s="17" t="inlineStr">
        <is>
          <t>Lunch</t>
        </is>
      </c>
      <c r="D276" s="30" t="inlineStr">
        <is>
          <t>Western</t>
        </is>
      </c>
      <c r="E276" s="17" t="inlineStr">
        <is>
          <t>Med</t>
        </is>
      </c>
      <c r="F276" s="18" t="n"/>
      <c r="G276" s="27">
        <f>IF(AND(ISNUMBER(SEARCH("Breakfast",$C276)),$D276="Asian"),RAND(),"")</f>
        <v/>
      </c>
      <c r="H276" s="27">
        <f>IF(AND(ISNUMBER(SEARCH("Breakfast",$C276)),$D276="Chinese"),RAND(),"")</f>
        <v/>
      </c>
      <c r="I276" s="27">
        <f>IF(AND(ISNUMBER(SEARCH("Breakfast",$C276)),$D276="Western"),RAND(),"")</f>
        <v/>
      </c>
      <c r="J276" s="27">
        <f>IF(AND(ISNUMBER(SEARCH("Lunch",$C276)),$D276="Asian"),RAND(),"")</f>
        <v/>
      </c>
      <c r="K276" s="27">
        <f>IF(AND(ISNUMBER(SEARCH("Lunch",$C276)),$D276="Chinese"),RAND(),"")</f>
        <v/>
      </c>
      <c r="L276" s="27">
        <f>IF(AND(ISNUMBER(SEARCH("Lunch",$C276)),$D276="Western"),RAND(),"")</f>
        <v/>
      </c>
      <c r="M276" s="27">
        <f>IF(AND(ISNUMBER(SEARCH("Dinner",$C276)),$D276="Asian"),RAND(),"")</f>
        <v/>
      </c>
      <c r="N276" s="27">
        <f>IF(AND(ISNUMBER(SEARCH("Dinner",$C276)),$D276="Chinese"),RAND(),"")</f>
        <v/>
      </c>
      <c r="O276" s="27">
        <f>IF(AND(ISNUMBER(SEARCH("Dinner",$C276)),$D276="Western"),RAND(),"")</f>
        <v/>
      </c>
    </row>
    <row r="277" ht="15.75" customHeight="1" s="36">
      <c r="A277" s="22" t="inlineStr">
        <is>
          <t>Mushroom Soup</t>
        </is>
      </c>
      <c r="B277" s="22" t="inlineStr">
        <is>
          <t>Garlic, Onion, Brown button mushroom, Chicken stock, Flour, Butter, White Wine, Thyme, Worcestershire sauce, Soy sauce, Cooking cream</t>
        </is>
      </c>
      <c r="C277" s="21" t="inlineStr">
        <is>
          <t>Dinner</t>
        </is>
      </c>
      <c r="D277" s="33" t="inlineStr">
        <is>
          <t>Western</t>
        </is>
      </c>
      <c r="E277" s="21" t="inlineStr">
        <is>
          <t>Low</t>
        </is>
      </c>
      <c r="F277" s="23" t="inlineStr">
        <is>
          <t>https://www.instagram.com/reel/DQ9MxHwEiE8/?utm_source=ig_web_button_share_sheet</t>
        </is>
      </c>
      <c r="G277" s="28">
        <f>IF(AND(ISNUMBER(SEARCH("Breakfast",$C277)),$D277="Asian"),RAND(),"")</f>
        <v/>
      </c>
      <c r="H277" s="28">
        <f>IF(AND(ISNUMBER(SEARCH("Breakfast",$C277)),$D277="Chinese"),RAND(),"")</f>
        <v/>
      </c>
      <c r="I277" s="28">
        <f>IF(AND(ISNUMBER(SEARCH("Breakfast",$C277)),$D277="Western"),RAND(),"")</f>
        <v/>
      </c>
      <c r="J277" s="28">
        <f>IF(AND(ISNUMBER(SEARCH("Lunch",$C277)),$D277="Asian"),RAND(),"")</f>
        <v/>
      </c>
      <c r="K277" s="28">
        <f>IF(AND(ISNUMBER(SEARCH("Lunch",$C277)),$D277="Chinese"),RAND(),"")</f>
        <v/>
      </c>
      <c r="L277" s="28">
        <f>IF(AND(ISNUMBER(SEARCH("Lunch",$C277)),$D277="Western"),RAND(),"")</f>
        <v/>
      </c>
      <c r="M277" s="28">
        <f>IF(AND(ISNUMBER(SEARCH("Dinner",$C277)),$D277="Asian"),RAND(),"")</f>
        <v/>
      </c>
      <c r="N277" s="28">
        <f>IF(AND(ISNUMBER(SEARCH("Dinner",$C277)),$D277="Chinese"),RAND(),"")</f>
        <v/>
      </c>
      <c r="O277" s="28">
        <f>IF(AND(ISNUMBER(SEARCH("Dinner",$C277)),$D277="Western"),RAND(),"")</f>
        <v/>
      </c>
      <c r="P277" s="0" t="b">
        <v>1</v>
      </c>
    </row>
    <row r="278" ht="15.75" customHeight="1" s="36">
      <c r="A278" s="18" t="inlineStr">
        <is>
          <t>Mushroom stir fry</t>
        </is>
      </c>
      <c r="B278" s="18" t="inlineStr">
        <is>
          <t>Mayonaise, Assorted mushroom, Black pepper, Salt, Olive Oil, Cilantro</t>
        </is>
      </c>
      <c r="C278" s="17" t="inlineStr">
        <is>
          <t>Dinner</t>
        </is>
      </c>
      <c r="D278" s="26" t="inlineStr">
        <is>
          <t>Chinese</t>
        </is>
      </c>
      <c r="E278" s="17" t="inlineStr">
        <is>
          <t>Med</t>
        </is>
      </c>
      <c r="F278" s="19" t="inlineStr">
        <is>
          <t>https://www.instagram.com/reel/C4iRaHmC_r6/?igsh=MWMweTJxY3p5dDEw</t>
        </is>
      </c>
      <c r="G278" s="27">
        <f>IF(AND(ISNUMBER(SEARCH("Breakfast",$C278)),$D278="Asian"),RAND(),"")</f>
        <v/>
      </c>
      <c r="H278" s="27">
        <f>IF(AND(ISNUMBER(SEARCH("Breakfast",$C278)),$D278="Chinese"),RAND(),"")</f>
        <v/>
      </c>
      <c r="I278" s="27">
        <f>IF(AND(ISNUMBER(SEARCH("Breakfast",$C278)),$D278="Western"),RAND(),"")</f>
        <v/>
      </c>
      <c r="J278" s="27">
        <f>IF(AND(ISNUMBER(SEARCH("Lunch",$C278)),$D278="Asian"),RAND(),"")</f>
        <v/>
      </c>
      <c r="K278" s="27">
        <f>IF(AND(ISNUMBER(SEARCH("Lunch",$C278)),$D278="Chinese"),RAND(),"")</f>
        <v/>
      </c>
      <c r="L278" s="27">
        <f>IF(AND(ISNUMBER(SEARCH("Lunch",$C278)),$D278="Western"),RAND(),"")</f>
        <v/>
      </c>
      <c r="M278" s="27">
        <f>IF(AND(ISNUMBER(SEARCH("Dinner",$C278)),$D278="Asian"),RAND(),"")</f>
        <v/>
      </c>
      <c r="N278" s="27">
        <f>IF(AND(ISNUMBER(SEARCH("Dinner",$C278)),$D278="Chinese"),RAND(),"")</f>
        <v/>
      </c>
      <c r="O278" s="27">
        <f>IF(AND(ISNUMBER(SEARCH("Dinner",$C278)),$D278="Western"),RAND(),"")</f>
        <v/>
      </c>
    </row>
    <row r="279" ht="15.75" customHeight="1" s="36">
      <c r="A279" s="22" t="inlineStr">
        <is>
          <t>Mushroom tofu soup</t>
        </is>
      </c>
      <c r="B279" s="22" t="inlineStr">
        <is>
          <t>Shiitake mushroom, Tofu, Green onions, Ginger, Chicken stock</t>
        </is>
      </c>
      <c r="C279" s="21" t="inlineStr">
        <is>
          <t>Dinner</t>
        </is>
      </c>
      <c r="D279" s="26" t="inlineStr">
        <is>
          <t>Chinese</t>
        </is>
      </c>
      <c r="E279" s="21" t="inlineStr">
        <is>
          <t>Med</t>
        </is>
      </c>
      <c r="F279" s="23" t="inlineStr">
        <is>
          <t>https://www.instagram.com/reel/DNn3z-aRYxg/?igsh=ZnBqaTF5MGRtdDY=</t>
        </is>
      </c>
      <c r="G279" s="28">
        <f>IF(AND(ISNUMBER(SEARCH("Breakfast",$C279)),$D279="Asian"),RAND(),"")</f>
        <v/>
      </c>
      <c r="H279" s="28">
        <f>IF(AND(ISNUMBER(SEARCH("Breakfast",$C279)),$D279="Chinese"),RAND(),"")</f>
        <v/>
      </c>
      <c r="I279" s="28">
        <f>IF(AND(ISNUMBER(SEARCH("Breakfast",$C279)),$D279="Western"),RAND(),"")</f>
        <v/>
      </c>
      <c r="J279" s="28">
        <f>IF(AND(ISNUMBER(SEARCH("Lunch",$C279)),$D279="Asian"),RAND(),"")</f>
        <v/>
      </c>
      <c r="K279" s="28">
        <f>IF(AND(ISNUMBER(SEARCH("Lunch",$C279)),$D279="Chinese"),RAND(),"")</f>
        <v/>
      </c>
      <c r="L279" s="28">
        <f>IF(AND(ISNUMBER(SEARCH("Lunch",$C279)),$D279="Western"),RAND(),"")</f>
        <v/>
      </c>
      <c r="M279" s="28">
        <f>IF(AND(ISNUMBER(SEARCH("Dinner",$C279)),$D279="Asian"),RAND(),"")</f>
        <v/>
      </c>
      <c r="N279" s="28">
        <f>IF(AND(ISNUMBER(SEARCH("Dinner",$C279)),$D279="Chinese"),RAND(),"")</f>
        <v/>
      </c>
      <c r="O279" s="28">
        <f>IF(AND(ISNUMBER(SEARCH("Dinner",$C279)),$D279="Western"),RAND(),"")</f>
        <v/>
      </c>
      <c r="P279" s="0" t="b">
        <v>1</v>
      </c>
    </row>
    <row r="280" ht="15.75" customHeight="1" s="36">
      <c r="A280" s="18" t="inlineStr">
        <is>
          <t>Nasi Lemak</t>
        </is>
      </c>
      <c r="B280" s="18" t="inlineStr">
        <is>
          <t>—</t>
        </is>
      </c>
      <c r="C280" s="17" t="inlineStr">
        <is>
          <t>Dinner</t>
        </is>
      </c>
      <c r="D280" s="29" t="inlineStr">
        <is>
          <t>Asian</t>
        </is>
      </c>
      <c r="E280" s="17" t="inlineStr">
        <is>
          <t>Med</t>
        </is>
      </c>
      <c r="F280" s="18" t="n"/>
      <c r="G280" s="27">
        <f>IF(AND(ISNUMBER(SEARCH("Breakfast",$C280)),$D280="Asian"),RAND(),"")</f>
        <v/>
      </c>
      <c r="H280" s="27">
        <f>IF(AND(ISNUMBER(SEARCH("Breakfast",$C280)),$D280="Chinese"),RAND(),"")</f>
        <v/>
      </c>
      <c r="I280" s="27">
        <f>IF(AND(ISNUMBER(SEARCH("Breakfast",$C280)),$D280="Western"),RAND(),"")</f>
        <v/>
      </c>
      <c r="J280" s="27">
        <f>IF(AND(ISNUMBER(SEARCH("Lunch",$C280)),$D280="Asian"),RAND(),"")</f>
        <v/>
      </c>
      <c r="K280" s="27">
        <f>IF(AND(ISNUMBER(SEARCH("Lunch",$C280)),$D280="Chinese"),RAND(),"")</f>
        <v/>
      </c>
      <c r="L280" s="27">
        <f>IF(AND(ISNUMBER(SEARCH("Lunch",$C280)),$D280="Western"),RAND(),"")</f>
        <v/>
      </c>
      <c r="M280" s="27">
        <f>IF(AND(ISNUMBER(SEARCH("Dinner",$C280)),$D280="Asian"),RAND(),"")</f>
        <v/>
      </c>
      <c r="N280" s="27">
        <f>IF(AND(ISNUMBER(SEARCH("Dinner",$C280)),$D280="Chinese"),RAND(),"")</f>
        <v/>
      </c>
      <c r="O280" s="27">
        <f>IF(AND(ISNUMBER(SEARCH("Dinner",$C280)),$D280="Western"),RAND(),"")</f>
        <v/>
      </c>
    </row>
    <row r="281" ht="15.75" customHeight="1" s="36">
      <c r="A281" s="22" t="inlineStr">
        <is>
          <t>Niku Jaga</t>
        </is>
      </c>
      <c r="B281" s="22" t="inlineStr">
        <is>
          <t>Carrot, Potato, Onion, Garlic, Spring Onion, Sake, Soya Sauce, Mirin, 猪梅花肉片</t>
        </is>
      </c>
      <c r="C281" s="21" t="inlineStr">
        <is>
          <t>Dinner</t>
        </is>
      </c>
      <c r="D281" s="29" t="inlineStr">
        <is>
          <t>Asian</t>
        </is>
      </c>
      <c r="E281" s="21" t="inlineStr">
        <is>
          <t>Med</t>
        </is>
      </c>
      <c r="F281" s="23" t="inlineStr">
        <is>
          <t>https://icook.tw/recipes/411700?utm_source=copy&amp;utm_medium=sharev3&amp;utm_campaign=recipe-share</t>
        </is>
      </c>
      <c r="G281" s="28">
        <f>IF(AND(ISNUMBER(SEARCH("Breakfast",$C281)),$D281="Asian"),RAND(),"")</f>
        <v/>
      </c>
      <c r="H281" s="28">
        <f>IF(AND(ISNUMBER(SEARCH("Breakfast",$C281)),$D281="Chinese"),RAND(),"")</f>
        <v/>
      </c>
      <c r="I281" s="28">
        <f>IF(AND(ISNUMBER(SEARCH("Breakfast",$C281)),$D281="Western"),RAND(),"")</f>
        <v/>
      </c>
      <c r="J281" s="28">
        <f>IF(AND(ISNUMBER(SEARCH("Lunch",$C281)),$D281="Asian"),RAND(),"")</f>
        <v/>
      </c>
      <c r="K281" s="28">
        <f>IF(AND(ISNUMBER(SEARCH("Lunch",$C281)),$D281="Chinese"),RAND(),"")</f>
        <v/>
      </c>
      <c r="L281" s="28">
        <f>IF(AND(ISNUMBER(SEARCH("Lunch",$C281)),$D281="Western"),RAND(),"")</f>
        <v/>
      </c>
      <c r="M281" s="28">
        <f>IF(AND(ISNUMBER(SEARCH("Dinner",$C281)),$D281="Asian"),RAND(),"")</f>
        <v/>
      </c>
      <c r="N281" s="28">
        <f>IF(AND(ISNUMBER(SEARCH("Dinner",$C281)),$D281="Chinese"),RAND(),"")</f>
        <v/>
      </c>
      <c r="O281" s="28">
        <f>IF(AND(ISNUMBER(SEARCH("Dinner",$C281)),$D281="Western"),RAND(),"")</f>
        <v/>
      </c>
    </row>
    <row r="282" ht="15.75" customHeight="1" s="36">
      <c r="A282" s="18" t="inlineStr">
        <is>
          <t>Nikujaga</t>
        </is>
      </c>
      <c r="B282" s="18" t="inlineStr">
        <is>
          <t>Potato, Onion, Carrot, Beef slices, Potato Noodles, Chicken Soup, Spring Onion, Honey, Ginger, Mirin, Sake, Sugar, Pork Slices</t>
        </is>
      </c>
      <c r="C282" s="17" t="inlineStr">
        <is>
          <t>Dinner</t>
        </is>
      </c>
      <c r="D282" s="29" t="inlineStr">
        <is>
          <t>Asian</t>
        </is>
      </c>
      <c r="E282" s="17" t="inlineStr">
        <is>
          <t>High</t>
        </is>
      </c>
      <c r="F282" s="19" t="inlineStr">
        <is>
          <t>https://icook.tw/recipes/401191?utm_source=copy&amp;utm_medium=sharev3&amp;utm_campaign=recipe-share</t>
        </is>
      </c>
      <c r="G282" s="27">
        <f>IF(AND(ISNUMBER(SEARCH("Breakfast",$C282)),$D282="Asian"),RAND(),"")</f>
        <v/>
      </c>
      <c r="H282" s="27">
        <f>IF(AND(ISNUMBER(SEARCH("Breakfast",$C282)),$D282="Chinese"),RAND(),"")</f>
        <v/>
      </c>
      <c r="I282" s="27">
        <f>IF(AND(ISNUMBER(SEARCH("Breakfast",$C282)),$D282="Western"),RAND(),"")</f>
        <v/>
      </c>
      <c r="J282" s="27">
        <f>IF(AND(ISNUMBER(SEARCH("Lunch",$C282)),$D282="Asian"),RAND(),"")</f>
        <v/>
      </c>
      <c r="K282" s="27">
        <f>IF(AND(ISNUMBER(SEARCH("Lunch",$C282)),$D282="Chinese"),RAND(),"")</f>
        <v/>
      </c>
      <c r="L282" s="27">
        <f>IF(AND(ISNUMBER(SEARCH("Lunch",$C282)),$D282="Western"),RAND(),"")</f>
        <v/>
      </c>
      <c r="M282" s="27">
        <f>IF(AND(ISNUMBER(SEARCH("Dinner",$C282)),$D282="Asian"),RAND(),"")</f>
        <v/>
      </c>
      <c r="N282" s="27">
        <f>IF(AND(ISNUMBER(SEARCH("Dinner",$C282)),$D282="Chinese"),RAND(),"")</f>
        <v/>
      </c>
      <c r="O282" s="27">
        <f>IF(AND(ISNUMBER(SEARCH("Dinner",$C282)),$D282="Western"),RAND(),"")</f>
        <v/>
      </c>
    </row>
    <row r="283" ht="15.75" customHeight="1" s="36">
      <c r="A283" s="18" t="inlineStr">
        <is>
          <t>Noodles + Meatball</t>
        </is>
      </c>
      <c r="B283" s="18" t="inlineStr">
        <is>
          <t>Noodles, Meatball, Pork slices</t>
        </is>
      </c>
      <c r="C283" s="17" t="inlineStr">
        <is>
          <t>Lunch</t>
        </is>
      </c>
      <c r="D283" s="30" t="inlineStr">
        <is>
          <t>Western</t>
        </is>
      </c>
      <c r="E283" s="17" t="inlineStr">
        <is>
          <t>Med</t>
        </is>
      </c>
      <c r="F283" s="18" t="n"/>
      <c r="G283" s="27">
        <f>IF(AND(ISNUMBER(SEARCH("Breakfast",$C283)),$D283="Asian"),RAND(),"")</f>
        <v/>
      </c>
      <c r="H283" s="27">
        <f>IF(AND(ISNUMBER(SEARCH("Breakfast",$C283)),$D283="Chinese"),RAND(),"")</f>
        <v/>
      </c>
      <c r="I283" s="27">
        <f>IF(AND(ISNUMBER(SEARCH("Breakfast",$C283)),$D283="Western"),RAND(),"")</f>
        <v/>
      </c>
      <c r="J283" s="27">
        <f>IF(AND(ISNUMBER(SEARCH("Lunch",$C283)),$D283="Asian"),RAND(),"")</f>
        <v/>
      </c>
      <c r="K283" s="27">
        <f>IF(AND(ISNUMBER(SEARCH("Lunch",$C283)),$D283="Chinese"),RAND(),"")</f>
        <v/>
      </c>
      <c r="L283" s="27">
        <f>IF(AND(ISNUMBER(SEARCH("Lunch",$C283)),$D283="Western"),RAND(),"")</f>
        <v/>
      </c>
      <c r="M283" s="27">
        <f>IF(AND(ISNUMBER(SEARCH("Dinner",$C283)),$D283="Asian"),RAND(),"")</f>
        <v/>
      </c>
      <c r="N283" s="27">
        <f>IF(AND(ISNUMBER(SEARCH("Dinner",$C283)),$D283="Chinese"),RAND(),"")</f>
        <v/>
      </c>
      <c r="O283" s="27">
        <f>IF(AND(ISNUMBER(SEARCH("Dinner",$C283)),$D283="Western"),RAND(),"")</f>
        <v/>
      </c>
    </row>
    <row r="284" ht="15.75" customHeight="1" s="36">
      <c r="A284" s="18" t="inlineStr">
        <is>
          <t>Ochasuke</t>
        </is>
      </c>
      <c r="B284" s="18" t="inlineStr">
        <is>
          <t>Dashi Soup, Cooking Wine, Salmon, Arare, Green Onion, Seaweed, Ume</t>
        </is>
      </c>
      <c r="C284" s="17" t="inlineStr">
        <is>
          <t>Dinner</t>
        </is>
      </c>
      <c r="D284" s="29" t="inlineStr">
        <is>
          <t>Asian</t>
        </is>
      </c>
      <c r="E284" s="17" t="inlineStr">
        <is>
          <t>Med</t>
        </is>
      </c>
      <c r="F284" s="18" t="n"/>
      <c r="G284" s="27">
        <f>IF(AND(ISNUMBER(SEARCH("Breakfast",$C284)),$D284="Asian"),RAND(),"")</f>
        <v/>
      </c>
      <c r="H284" s="27">
        <f>IF(AND(ISNUMBER(SEARCH("Breakfast",$C284)),$D284="Chinese"),RAND(),"")</f>
        <v/>
      </c>
      <c r="I284" s="27">
        <f>IF(AND(ISNUMBER(SEARCH("Breakfast",$C284)),$D284="Western"),RAND(),"")</f>
        <v/>
      </c>
      <c r="J284" s="27">
        <f>IF(AND(ISNUMBER(SEARCH("Lunch",$C284)),$D284="Asian"),RAND(),"")</f>
        <v/>
      </c>
      <c r="K284" s="27">
        <f>IF(AND(ISNUMBER(SEARCH("Lunch",$C284)),$D284="Chinese"),RAND(),"")</f>
        <v/>
      </c>
      <c r="L284" s="27">
        <f>IF(AND(ISNUMBER(SEARCH("Lunch",$C284)),$D284="Western"),RAND(),"")</f>
        <v/>
      </c>
      <c r="M284" s="27">
        <f>IF(AND(ISNUMBER(SEARCH("Dinner",$C284)),$D284="Asian"),RAND(),"")</f>
        <v/>
      </c>
      <c r="N284" s="27">
        <f>IF(AND(ISNUMBER(SEARCH("Dinner",$C284)),$D284="Chinese"),RAND(),"")</f>
        <v/>
      </c>
      <c r="O284" s="27">
        <f>IF(AND(ISNUMBER(SEARCH("Dinner",$C284)),$D284="Western"),RAND(),"")</f>
        <v/>
      </c>
    </row>
    <row r="285" ht="15.75" customHeight="1" s="36">
      <c r="A285" s="22" t="inlineStr">
        <is>
          <t>Octopus Ceviche</t>
        </is>
      </c>
      <c r="B285" s="22" t="inlineStr">
        <is>
          <t>lime, small red onion, cilantro, salt, black pepper</t>
        </is>
      </c>
      <c r="C285" s="21" t="inlineStr">
        <is>
          <t>Lunch</t>
        </is>
      </c>
      <c r="D285" s="33" t="inlineStr">
        <is>
          <t>Western</t>
        </is>
      </c>
      <c r="E285" s="21" t="inlineStr">
        <is>
          <t>Low</t>
        </is>
      </c>
      <c r="F285" s="23" t="inlineStr">
        <is>
          <t>https://www.platingsandpairings.com/octopus-ceviche-ceviche-de-pulpo/#wprm-recipe-container-25107</t>
        </is>
      </c>
      <c r="G285" s="28">
        <f>IF(AND(ISNUMBER(SEARCH("Breakfast",$C285)),$D285="Asian"),RAND(),"")</f>
        <v/>
      </c>
      <c r="H285" s="28">
        <f>IF(AND(ISNUMBER(SEARCH("Breakfast",$C285)),$D285="Chinese"),RAND(),"")</f>
        <v/>
      </c>
      <c r="I285" s="28">
        <f>IF(AND(ISNUMBER(SEARCH("Breakfast",$C285)),$D285="Western"),RAND(),"")</f>
        <v/>
      </c>
      <c r="J285" s="28">
        <f>IF(AND(ISNUMBER(SEARCH("Lunch",$C285)),$D285="Asian"),RAND(),"")</f>
        <v/>
      </c>
      <c r="K285" s="28">
        <f>IF(AND(ISNUMBER(SEARCH("Lunch",$C285)),$D285="Chinese"),RAND(),"")</f>
        <v/>
      </c>
      <c r="L285" s="28">
        <f>IF(AND(ISNUMBER(SEARCH("Lunch",$C285)),$D285="Western"),RAND(),"")</f>
        <v/>
      </c>
      <c r="M285" s="28">
        <f>IF(AND(ISNUMBER(SEARCH("Dinner",$C285)),$D285="Asian"),RAND(),"")</f>
        <v/>
      </c>
      <c r="N285" s="28">
        <f>IF(AND(ISNUMBER(SEARCH("Dinner",$C285)),$D285="Chinese"),RAND(),"")</f>
        <v/>
      </c>
      <c r="O285" s="28">
        <f>IF(AND(ISNUMBER(SEARCH("Dinner",$C285)),$D285="Western"),RAND(),"")</f>
        <v/>
      </c>
    </row>
    <row r="286" ht="15.75" customHeight="1" s="36">
      <c r="A286" s="18" t="inlineStr">
        <is>
          <t>Okinawa Prawn Dish</t>
        </is>
      </c>
      <c r="B286" s="18" t="inlineStr">
        <is>
          <t>Prawns, Garlic, Butter, Lemon, Flour, Italian Herbs, Onion</t>
        </is>
      </c>
      <c r="C286" s="17" t="inlineStr">
        <is>
          <t>Dinner</t>
        </is>
      </c>
      <c r="D286" s="29" t="inlineStr">
        <is>
          <t>Asian</t>
        </is>
      </c>
      <c r="E286" s="17" t="inlineStr">
        <is>
          <t>Med</t>
        </is>
      </c>
      <c r="F286" s="19" t="inlineStr">
        <is>
          <t>https://www.instagram.com/reel/DCUIlAGy9eS/?igsh=OTJqcWN2MHR1N2pl</t>
        </is>
      </c>
      <c r="G286" s="27">
        <f>IF(AND(ISNUMBER(SEARCH("Breakfast",$C286)),$D286="Asian"),RAND(),"")</f>
        <v/>
      </c>
      <c r="H286" s="27">
        <f>IF(AND(ISNUMBER(SEARCH("Breakfast",$C286)),$D286="Chinese"),RAND(),"")</f>
        <v/>
      </c>
      <c r="I286" s="27">
        <f>IF(AND(ISNUMBER(SEARCH("Breakfast",$C286)),$D286="Western"),RAND(),"")</f>
        <v/>
      </c>
      <c r="J286" s="27">
        <f>IF(AND(ISNUMBER(SEARCH("Lunch",$C286)),$D286="Asian"),RAND(),"")</f>
        <v/>
      </c>
      <c r="K286" s="27">
        <f>IF(AND(ISNUMBER(SEARCH("Lunch",$C286)),$D286="Chinese"),RAND(),"")</f>
        <v/>
      </c>
      <c r="L286" s="27">
        <f>IF(AND(ISNUMBER(SEARCH("Lunch",$C286)),$D286="Western"),RAND(),"")</f>
        <v/>
      </c>
      <c r="M286" s="27">
        <f>IF(AND(ISNUMBER(SEARCH("Dinner",$C286)),$D286="Asian"),RAND(),"")</f>
        <v/>
      </c>
      <c r="N286" s="27">
        <f>IF(AND(ISNUMBER(SEARCH("Dinner",$C286)),$D286="Chinese"),RAND(),"")</f>
        <v/>
      </c>
      <c r="O286" s="27">
        <f>IF(AND(ISNUMBER(SEARCH("Dinner",$C286)),$D286="Western"),RAND(),"")</f>
        <v/>
      </c>
    </row>
    <row r="287" ht="15.75" customHeight="1" s="36">
      <c r="A287" s="22" t="inlineStr">
        <is>
          <t>Okinawa Taco</t>
        </is>
      </c>
      <c r="B287" s="22" t="inlineStr">
        <is>
          <t>—</t>
        </is>
      </c>
      <c r="C287" s="21" t="inlineStr">
        <is>
          <t>Dinner</t>
        </is>
      </c>
      <c r="D287" s="30" t="inlineStr">
        <is>
          <t>Western</t>
        </is>
      </c>
      <c r="E287" s="21" t="inlineStr">
        <is>
          <t>Low</t>
        </is>
      </c>
      <c r="F287" s="22" t="n"/>
      <c r="G287" s="28">
        <f>IF(AND(ISNUMBER(SEARCH("Breakfast",$C287)),$D287="Asian"),RAND(),"")</f>
        <v/>
      </c>
      <c r="H287" s="28">
        <f>IF(AND(ISNUMBER(SEARCH("Breakfast",$C287)),$D287="Chinese"),RAND(),"")</f>
        <v/>
      </c>
      <c r="I287" s="28">
        <f>IF(AND(ISNUMBER(SEARCH("Breakfast",$C287)),$D287="Western"),RAND(),"")</f>
        <v/>
      </c>
      <c r="J287" s="28">
        <f>IF(AND(ISNUMBER(SEARCH("Lunch",$C287)),$D287="Asian"),RAND(),"")</f>
        <v/>
      </c>
      <c r="K287" s="28">
        <f>IF(AND(ISNUMBER(SEARCH("Lunch",$C287)),$D287="Chinese"),RAND(),"")</f>
        <v/>
      </c>
      <c r="L287" s="28">
        <f>IF(AND(ISNUMBER(SEARCH("Lunch",$C287)),$D287="Western"),RAND(),"")</f>
        <v/>
      </c>
      <c r="M287" s="28">
        <f>IF(AND(ISNUMBER(SEARCH("Dinner",$C287)),$D287="Asian"),RAND(),"")</f>
        <v/>
      </c>
      <c r="N287" s="28">
        <f>IF(AND(ISNUMBER(SEARCH("Dinner",$C287)),$D287="Chinese"),RAND(),"")</f>
        <v/>
      </c>
      <c r="O287" s="28">
        <f>IF(AND(ISNUMBER(SEARCH("Dinner",$C287)),$D287="Western"),RAND(),"")</f>
        <v/>
      </c>
    </row>
    <row r="288" ht="15.75" customHeight="1" s="36">
      <c r="A288" s="18" t="inlineStr">
        <is>
          <t>Okonomiyaki</t>
        </is>
      </c>
      <c r="B288" s="18" t="inlineStr">
        <is>
          <t>Cabbage, Shiitake Mushroom, Scallions, Flour, Okonomiyaki Sauce, Mayonaise, Japanese Yam (Yamaimo)</t>
        </is>
      </c>
      <c r="C288" s="17" t="inlineStr">
        <is>
          <t>Dinner</t>
        </is>
      </c>
      <c r="D288" s="29" t="inlineStr">
        <is>
          <t>Asian</t>
        </is>
      </c>
      <c r="E288" s="17" t="inlineStr">
        <is>
          <t>High</t>
        </is>
      </c>
      <c r="F288" s="18" t="n"/>
      <c r="G288" s="27">
        <f>IF(AND(ISNUMBER(SEARCH("Breakfast",$C288)),$D288="Asian"),RAND(),"")</f>
        <v/>
      </c>
      <c r="H288" s="27">
        <f>IF(AND(ISNUMBER(SEARCH("Breakfast",$C288)),$D288="Chinese"),RAND(),"")</f>
        <v/>
      </c>
      <c r="I288" s="27">
        <f>IF(AND(ISNUMBER(SEARCH("Breakfast",$C288)),$D288="Western"),RAND(),"")</f>
        <v/>
      </c>
      <c r="J288" s="27">
        <f>IF(AND(ISNUMBER(SEARCH("Lunch",$C288)),$D288="Asian"),RAND(),"")</f>
        <v/>
      </c>
      <c r="K288" s="27">
        <f>IF(AND(ISNUMBER(SEARCH("Lunch",$C288)),$D288="Chinese"),RAND(),"")</f>
        <v/>
      </c>
      <c r="L288" s="27">
        <f>IF(AND(ISNUMBER(SEARCH("Lunch",$C288)),$D288="Western"),RAND(),"")</f>
        <v/>
      </c>
      <c r="M288" s="27">
        <f>IF(AND(ISNUMBER(SEARCH("Dinner",$C288)),$D288="Asian"),RAND(),"")</f>
        <v/>
      </c>
      <c r="N288" s="27">
        <f>IF(AND(ISNUMBER(SEARCH("Dinner",$C288)),$D288="Chinese"),RAND(),"")</f>
        <v/>
      </c>
      <c r="O288" s="27">
        <f>IF(AND(ISNUMBER(SEARCH("Dinner",$C288)),$D288="Western"),RAND(),"")</f>
        <v/>
      </c>
    </row>
    <row r="289" ht="15.75" customHeight="1" s="36">
      <c r="A289" s="22" t="inlineStr">
        <is>
          <t>Okra</t>
        </is>
      </c>
      <c r="B289" s="22" t="inlineStr">
        <is>
          <t>sesame paste, Baby Corn</t>
        </is>
      </c>
      <c r="C289" s="21" t="inlineStr">
        <is>
          <t>Lunch</t>
        </is>
      </c>
      <c r="D289" s="33" t="inlineStr">
        <is>
          <t>Asian</t>
        </is>
      </c>
      <c r="E289" s="21" t="inlineStr">
        <is>
          <t>Low</t>
        </is>
      </c>
      <c r="F289" s="23" t="inlineStr">
        <is>
          <t>https://icook.tw/recipes/382507?utm_source=copy&amp;utm_medium=sharev3&amp;utm_campaign=recipe-share</t>
        </is>
      </c>
      <c r="G289" s="28">
        <f>IF(AND(ISNUMBER(SEARCH("Breakfast",$C289)),$D289="Asian"),RAND(),"")</f>
        <v/>
      </c>
      <c r="H289" s="28">
        <f>IF(AND(ISNUMBER(SEARCH("Breakfast",$C289)),$D289="Chinese"),RAND(),"")</f>
        <v/>
      </c>
      <c r="I289" s="28">
        <f>IF(AND(ISNUMBER(SEARCH("Breakfast",$C289)),$D289="Western"),RAND(),"")</f>
        <v/>
      </c>
      <c r="J289" s="28">
        <f>IF(AND(ISNUMBER(SEARCH("Lunch",$C289)),$D289="Asian"),RAND(),"")</f>
        <v/>
      </c>
      <c r="K289" s="28">
        <f>IF(AND(ISNUMBER(SEARCH("Lunch",$C289)),$D289="Chinese"),RAND(),"")</f>
        <v/>
      </c>
      <c r="L289" s="28">
        <f>IF(AND(ISNUMBER(SEARCH("Lunch",$C289)),$D289="Western"),RAND(),"")</f>
        <v/>
      </c>
      <c r="M289" s="28">
        <f>IF(AND(ISNUMBER(SEARCH("Dinner",$C289)),$D289="Asian"),RAND(),"")</f>
        <v/>
      </c>
      <c r="N289" s="28">
        <f>IF(AND(ISNUMBER(SEARCH("Dinner",$C289)),$D289="Chinese"),RAND(),"")</f>
        <v/>
      </c>
      <c r="O289" s="28">
        <f>IF(AND(ISNUMBER(SEARCH("Dinner",$C289)),$D289="Western"),RAND(),"")</f>
        <v/>
      </c>
    </row>
    <row r="290" ht="15.75" customHeight="1" s="36">
      <c r="A290" s="18" t="inlineStr">
        <is>
          <t>Okra Tuna</t>
        </is>
      </c>
      <c r="B290" s="18" t="inlineStr">
        <is>
          <t>Tuna Can, Okra, Garlic, Soy Sauce, sesame Seed</t>
        </is>
      </c>
      <c r="C290" s="17" t="inlineStr">
        <is>
          <t>Dinner</t>
        </is>
      </c>
      <c r="D290" s="33" t="inlineStr">
        <is>
          <t>Asian</t>
        </is>
      </c>
      <c r="E290" s="17" t="inlineStr">
        <is>
          <t>Low</t>
        </is>
      </c>
      <c r="F290" s="19" t="inlineStr">
        <is>
          <t>https://www.instagram.com/reel/DNXrJkOtLF6/?igsh=MTE0ZjlkbnZsZzBicw==</t>
        </is>
      </c>
      <c r="G290" s="27">
        <f>IF(AND(ISNUMBER(SEARCH("Breakfast",$C290)),$D290="Asian"),RAND(),"")</f>
        <v/>
      </c>
      <c r="H290" s="27">
        <f>IF(AND(ISNUMBER(SEARCH("Breakfast",$C290)),$D290="Chinese"),RAND(),"")</f>
        <v/>
      </c>
      <c r="I290" s="27">
        <f>IF(AND(ISNUMBER(SEARCH("Breakfast",$C290)),$D290="Western"),RAND(),"")</f>
        <v/>
      </c>
      <c r="J290" s="27">
        <f>IF(AND(ISNUMBER(SEARCH("Lunch",$C290)),$D290="Asian"),RAND(),"")</f>
        <v/>
      </c>
      <c r="K290" s="27">
        <f>IF(AND(ISNUMBER(SEARCH("Lunch",$C290)),$D290="Chinese"),RAND(),"")</f>
        <v/>
      </c>
      <c r="L290" s="27">
        <f>IF(AND(ISNUMBER(SEARCH("Lunch",$C290)),$D290="Western"),RAND(),"")</f>
        <v/>
      </c>
      <c r="M290" s="27">
        <f>IF(AND(ISNUMBER(SEARCH("Dinner",$C290)),$D290="Asian"),RAND(),"")</f>
        <v/>
      </c>
      <c r="N290" s="27">
        <f>IF(AND(ISNUMBER(SEARCH("Dinner",$C290)),$D290="Chinese"),RAND(),"")</f>
        <v/>
      </c>
      <c r="O290" s="27">
        <f>IF(AND(ISNUMBER(SEARCH("Dinner",$C290)),$D290="Western"),RAND(),"")</f>
        <v/>
      </c>
    </row>
    <row r="291" ht="15.75" customHeight="1" s="36">
      <c r="A291" s="22" t="inlineStr">
        <is>
          <t>One pot salmon butter rice</t>
        </is>
      </c>
      <c r="B291" s="22" t="inlineStr">
        <is>
          <t>Salmon, Butter, Rice, Shimeji mushroom, Garlic, Shiitake mushroom, Soy sauce, Chicken stock, Miso, Lemon</t>
        </is>
      </c>
      <c r="C291" s="21" t="inlineStr">
        <is>
          <t>Lunch</t>
        </is>
      </c>
      <c r="D291" s="29" t="inlineStr">
        <is>
          <t>Asian</t>
        </is>
      </c>
      <c r="E291" s="21" t="inlineStr">
        <is>
          <t>Med</t>
        </is>
      </c>
      <c r="F291" s="23" t="inlineStr">
        <is>
          <t>https://www.instagram.com/reel/DPl-QoGgOUX/?igsh=MWd6Y3VkczlyeWR2cQ==</t>
        </is>
      </c>
      <c r="G291" s="28">
        <f>IF(AND(ISNUMBER(SEARCH("Breakfast",$C291)),$D291="Asian"),RAND(),"")</f>
        <v/>
      </c>
      <c r="H291" s="28">
        <f>IF(AND(ISNUMBER(SEARCH("Breakfast",$C291)),$D291="Chinese"),RAND(),"")</f>
        <v/>
      </c>
      <c r="I291" s="28">
        <f>IF(AND(ISNUMBER(SEARCH("Breakfast",$C291)),$D291="Western"),RAND(),"")</f>
        <v/>
      </c>
      <c r="J291" s="28">
        <f>IF(AND(ISNUMBER(SEARCH("Lunch",$C291)),$D291="Asian"),RAND(),"")</f>
        <v/>
      </c>
      <c r="K291" s="28">
        <f>IF(AND(ISNUMBER(SEARCH("Lunch",$C291)),$D291="Chinese"),RAND(),"")</f>
        <v/>
      </c>
      <c r="L291" s="28">
        <f>IF(AND(ISNUMBER(SEARCH("Lunch",$C291)),$D291="Western"),RAND(),"")</f>
        <v/>
      </c>
      <c r="M291" s="28">
        <f>IF(AND(ISNUMBER(SEARCH("Dinner",$C291)),$D291="Asian"),RAND(),"")</f>
        <v/>
      </c>
      <c r="N291" s="28">
        <f>IF(AND(ISNUMBER(SEARCH("Dinner",$C291)),$D291="Chinese"),RAND(),"")</f>
        <v/>
      </c>
      <c r="O291" s="28">
        <f>IF(AND(ISNUMBER(SEARCH("Dinner",$C291)),$D291="Western"),RAND(),"")</f>
        <v/>
      </c>
    </row>
    <row r="292" ht="15.75" customHeight="1" s="36">
      <c r="A292" s="18" t="inlineStr">
        <is>
          <t>Onion Soup</t>
        </is>
      </c>
      <c r="B292" s="18" t="inlineStr">
        <is>
          <t>Onion, Garlic, Chicken Broth, Bay Leave, Parsley, Lemon juice, Butter, Chicken Stock, Salt, Black Pepper, Olive Oil</t>
        </is>
      </c>
      <c r="C292" s="17" t="inlineStr">
        <is>
          <t>Dinner</t>
        </is>
      </c>
      <c r="D292" s="33" t="inlineStr">
        <is>
          <t>Western</t>
        </is>
      </c>
      <c r="E292" s="17" t="inlineStr">
        <is>
          <t>Low</t>
        </is>
      </c>
      <c r="F292" s="19" t="inlineStr">
        <is>
          <t>https://www.instagram.com/reel/DGuwYU9PWGz/?igsh=OGk2Y284M3d1ZDk0</t>
        </is>
      </c>
      <c r="G292" s="27">
        <f>IF(AND(ISNUMBER(SEARCH("Breakfast",$C292)),$D292="Asian"),RAND(),"")</f>
        <v/>
      </c>
      <c r="H292" s="27">
        <f>IF(AND(ISNUMBER(SEARCH("Breakfast",$C292)),$D292="Chinese"),RAND(),"")</f>
        <v/>
      </c>
      <c r="I292" s="27">
        <f>IF(AND(ISNUMBER(SEARCH("Breakfast",$C292)),$D292="Western"),RAND(),"")</f>
        <v/>
      </c>
      <c r="J292" s="27">
        <f>IF(AND(ISNUMBER(SEARCH("Lunch",$C292)),$D292="Asian"),RAND(),"")</f>
        <v/>
      </c>
      <c r="K292" s="27">
        <f>IF(AND(ISNUMBER(SEARCH("Lunch",$C292)),$D292="Chinese"),RAND(),"")</f>
        <v/>
      </c>
      <c r="L292" s="27">
        <f>IF(AND(ISNUMBER(SEARCH("Lunch",$C292)),$D292="Western"),RAND(),"")</f>
        <v/>
      </c>
      <c r="M292" s="27">
        <f>IF(AND(ISNUMBER(SEARCH("Dinner",$C292)),$D292="Asian"),RAND(),"")</f>
        <v/>
      </c>
      <c r="N292" s="27">
        <f>IF(AND(ISNUMBER(SEARCH("Dinner",$C292)),$D292="Chinese"),RAND(),"")</f>
        <v/>
      </c>
      <c r="O292" s="27">
        <f>IF(AND(ISNUMBER(SEARCH("Dinner",$C292)),$D292="Western"),RAND(),"")</f>
        <v/>
      </c>
      <c r="P292" s="0" t="b">
        <v>1</v>
      </c>
    </row>
    <row r="293" ht="15.75" customHeight="1" s="36">
      <c r="A293" s="22" t="inlineStr">
        <is>
          <t>Orzo salad</t>
        </is>
      </c>
      <c r="B293" s="22" t="inlineStr">
        <is>
          <t>Orzo, Red onion, Brussels sprouts, Pumpkin, Parsley, Lemon, Canned chickpeas, Ketchup, Garlic, Almonds, Red wine vinegar, Maple syrup</t>
        </is>
      </c>
      <c r="C293" s="21" t="inlineStr">
        <is>
          <t>Dinner</t>
        </is>
      </c>
      <c r="D293" s="30" t="inlineStr">
        <is>
          <t>Western</t>
        </is>
      </c>
      <c r="E293" s="21" t="inlineStr">
        <is>
          <t>High</t>
        </is>
      </c>
      <c r="F293" s="23" t="inlineStr">
        <is>
          <t>https://www.kitchenstories.com/en/recipes/orzo-salad-with-harissa-roasted-pumpkin-and-brussels-sprouts</t>
        </is>
      </c>
      <c r="G293" s="28">
        <f>IF(AND(ISNUMBER(SEARCH("Breakfast",$C293)),$D293="Asian"),RAND(),"")</f>
        <v/>
      </c>
      <c r="H293" s="28">
        <f>IF(AND(ISNUMBER(SEARCH("Breakfast",$C293)),$D293="Chinese"),RAND(),"")</f>
        <v/>
      </c>
      <c r="I293" s="28">
        <f>IF(AND(ISNUMBER(SEARCH("Breakfast",$C293)),$D293="Western"),RAND(),"")</f>
        <v/>
      </c>
      <c r="J293" s="28">
        <f>IF(AND(ISNUMBER(SEARCH("Lunch",$C293)),$D293="Asian"),RAND(),"")</f>
        <v/>
      </c>
      <c r="K293" s="28">
        <f>IF(AND(ISNUMBER(SEARCH("Lunch",$C293)),$D293="Chinese"),RAND(),"")</f>
        <v/>
      </c>
      <c r="L293" s="28">
        <f>IF(AND(ISNUMBER(SEARCH("Lunch",$C293)),$D293="Western"),RAND(),"")</f>
        <v/>
      </c>
      <c r="M293" s="28">
        <f>IF(AND(ISNUMBER(SEARCH("Dinner",$C293)),$D293="Asian"),RAND(),"")</f>
        <v/>
      </c>
      <c r="N293" s="28">
        <f>IF(AND(ISNUMBER(SEARCH("Dinner",$C293)),$D293="Chinese"),RAND(),"")</f>
        <v/>
      </c>
      <c r="O293" s="28">
        <f>IF(AND(ISNUMBER(SEARCH("Dinner",$C293)),$D293="Western"),RAND(),"")</f>
        <v/>
      </c>
    </row>
    <row r="294" ht="15.75" customHeight="1" s="36">
      <c r="A294" s="18" t="inlineStr">
        <is>
          <t>Oven baked wings</t>
        </is>
      </c>
      <c r="B294" s="18" t="inlineStr">
        <is>
          <t>Chicken wings, Paprika, Butter/oil, Salt, Pepper</t>
        </is>
      </c>
      <c r="C294" s="17" t="inlineStr">
        <is>
          <t>Lunch</t>
        </is>
      </c>
      <c r="D294" s="33" t="inlineStr">
        <is>
          <t>Western</t>
        </is>
      </c>
      <c r="E294" s="17" t="inlineStr">
        <is>
          <t>Low</t>
        </is>
      </c>
      <c r="F294" s="19" t="inlineStr">
        <is>
          <t>https://healthyrecipesblogs.com/baked-chicken-wings/</t>
        </is>
      </c>
      <c r="G294" s="27">
        <f>IF(AND(ISNUMBER(SEARCH("Breakfast",$C294)),$D294="Asian"),RAND(),"")</f>
        <v/>
      </c>
      <c r="H294" s="27">
        <f>IF(AND(ISNUMBER(SEARCH("Breakfast",$C294)),$D294="Chinese"),RAND(),"")</f>
        <v/>
      </c>
      <c r="I294" s="27">
        <f>IF(AND(ISNUMBER(SEARCH("Breakfast",$C294)),$D294="Western"),RAND(),"")</f>
        <v/>
      </c>
      <c r="J294" s="27">
        <f>IF(AND(ISNUMBER(SEARCH("Lunch",$C294)),$D294="Asian"),RAND(),"")</f>
        <v/>
      </c>
      <c r="K294" s="27">
        <f>IF(AND(ISNUMBER(SEARCH("Lunch",$C294)),$D294="Chinese"),RAND(),"")</f>
        <v/>
      </c>
      <c r="L294" s="27">
        <f>IF(AND(ISNUMBER(SEARCH("Lunch",$C294)),$D294="Western"),RAND(),"")</f>
        <v/>
      </c>
      <c r="M294" s="27">
        <f>IF(AND(ISNUMBER(SEARCH("Dinner",$C294)),$D294="Asian"),RAND(),"")</f>
        <v/>
      </c>
      <c r="N294" s="27">
        <f>IF(AND(ISNUMBER(SEARCH("Dinner",$C294)),$D294="Chinese"),RAND(),"")</f>
        <v/>
      </c>
      <c r="O294" s="27">
        <f>IF(AND(ISNUMBER(SEARCH("Dinner",$C294)),$D294="Western"),RAND(),"")</f>
        <v/>
      </c>
    </row>
    <row r="295" ht="15.75" customHeight="1" s="36">
      <c r="A295" s="22" t="inlineStr">
        <is>
          <t>Oven fried pumpkin</t>
        </is>
      </c>
      <c r="B295" s="22" t="inlineStr">
        <is>
          <t>Pumpkin, Garlic, Corn starch</t>
        </is>
      </c>
      <c r="C295" s="21" t="inlineStr">
        <is>
          <t>Dinner</t>
        </is>
      </c>
      <c r="D295" s="33" t="inlineStr">
        <is>
          <t>Western</t>
        </is>
      </c>
      <c r="E295" s="21" t="inlineStr">
        <is>
          <t>Low</t>
        </is>
      </c>
      <c r="F295" s="23" t="inlineStr">
        <is>
          <t>https://icook.tw/recipes/478603?utm_source=copy&amp;utm_medium=sharev3&amp;utm_campaign=recipe-share</t>
        </is>
      </c>
      <c r="G295" s="28">
        <f>IF(AND(ISNUMBER(SEARCH("Breakfast",$C295)),$D295="Asian"),RAND(),"")</f>
        <v/>
      </c>
      <c r="H295" s="28">
        <f>IF(AND(ISNUMBER(SEARCH("Breakfast",$C295)),$D295="Chinese"),RAND(),"")</f>
        <v/>
      </c>
      <c r="I295" s="28">
        <f>IF(AND(ISNUMBER(SEARCH("Breakfast",$C295)),$D295="Western"),RAND(),"")</f>
        <v/>
      </c>
      <c r="J295" s="28">
        <f>IF(AND(ISNUMBER(SEARCH("Lunch",$C295)),$D295="Asian"),RAND(),"")</f>
        <v/>
      </c>
      <c r="K295" s="28">
        <f>IF(AND(ISNUMBER(SEARCH("Lunch",$C295)),$D295="Chinese"),RAND(),"")</f>
        <v/>
      </c>
      <c r="L295" s="28">
        <f>IF(AND(ISNUMBER(SEARCH("Lunch",$C295)),$D295="Western"),RAND(),"")</f>
        <v/>
      </c>
      <c r="M295" s="28">
        <f>IF(AND(ISNUMBER(SEARCH("Dinner",$C295)),$D295="Asian"),RAND(),"")</f>
        <v/>
      </c>
      <c r="N295" s="28">
        <f>IF(AND(ISNUMBER(SEARCH("Dinner",$C295)),$D295="Chinese"),RAND(),"")</f>
        <v/>
      </c>
      <c r="O295" s="28">
        <f>IF(AND(ISNUMBER(SEARCH("Dinner",$C295)),$D295="Western"),RAND(),"")</f>
        <v/>
      </c>
    </row>
    <row r="296" ht="15.75" customHeight="1" s="36">
      <c r="A296" s="18" t="inlineStr">
        <is>
          <t>Overnight Carrot Cake Oats</t>
        </is>
      </c>
      <c r="B296" s="18" t="inlineStr">
        <is>
          <t>Rolled Oats, Milk, Carrot, Maple Syrup, Vanilla Extract, Cinnamon, Walnuts, Chia Seeds</t>
        </is>
      </c>
      <c r="C296" s="17" t="inlineStr">
        <is>
          <t>Dinner, Lunch</t>
        </is>
      </c>
      <c r="D296" s="30" t="inlineStr">
        <is>
          <t>Western</t>
        </is>
      </c>
      <c r="E296" s="17" t="inlineStr">
        <is>
          <t>Med</t>
        </is>
      </c>
      <c r="F296" s="19" t="inlineStr">
        <is>
          <t>https://www.instagram.com/reel/C6_bAYDuvnB/?igsh=YWR6ODhvbW5tc3lt</t>
        </is>
      </c>
      <c r="G296" s="27">
        <f>IF(AND(ISNUMBER(SEARCH("Breakfast",$C296)),$D296="Asian"),RAND(),"")</f>
        <v/>
      </c>
      <c r="H296" s="27">
        <f>IF(AND(ISNUMBER(SEARCH("Breakfast",$C296)),$D296="Chinese"),RAND(),"")</f>
        <v/>
      </c>
      <c r="I296" s="27">
        <f>IF(AND(ISNUMBER(SEARCH("Breakfast",$C296)),$D296="Western"),RAND(),"")</f>
        <v/>
      </c>
      <c r="J296" s="27">
        <f>IF(AND(ISNUMBER(SEARCH("Lunch",$C296)),$D296="Asian"),RAND(),"")</f>
        <v/>
      </c>
      <c r="K296" s="27">
        <f>IF(AND(ISNUMBER(SEARCH("Lunch",$C296)),$D296="Chinese"),RAND(),"")</f>
        <v/>
      </c>
      <c r="L296" s="27">
        <f>IF(AND(ISNUMBER(SEARCH("Lunch",$C296)),$D296="Western"),RAND(),"")</f>
        <v/>
      </c>
      <c r="M296" s="27">
        <f>IF(AND(ISNUMBER(SEARCH("Dinner",$C296)),$D296="Asian"),RAND(),"")</f>
        <v/>
      </c>
      <c r="N296" s="27">
        <f>IF(AND(ISNUMBER(SEARCH("Dinner",$C296)),$D296="Chinese"),RAND(),"")</f>
        <v/>
      </c>
      <c r="O296" s="27">
        <f>IF(AND(ISNUMBER(SEARCH("Dinner",$C296)),$D296="Western"),RAND(),"")</f>
        <v/>
      </c>
    </row>
    <row r="297" ht="15.75" customHeight="1" s="36">
      <c r="A297" s="22" t="inlineStr">
        <is>
          <t>Overnight Oats</t>
        </is>
      </c>
      <c r="B297" s="22" t="inlineStr">
        <is>
          <t>Oats, Chia Seeds, Yoghurt, Milk, Honey, Banana, Rolled Oats, Chia Seed, Maple Syrup, Vanilla, Cinnamon, Apple</t>
        </is>
      </c>
      <c r="C297" s="21" t="inlineStr">
        <is>
          <t>Breakfast, Lunch</t>
        </is>
      </c>
      <c r="D297" s="30" t="inlineStr">
        <is>
          <t>Western</t>
        </is>
      </c>
      <c r="E297" s="21" t="inlineStr">
        <is>
          <t>Med</t>
        </is>
      </c>
      <c r="F297" s="23" t="inlineStr">
        <is>
          <t>https://www.instagram.com/p/C0LsHS3qbuc/?img_index=3&amp;igsh=ZzI4dzdzNzBzZGdl</t>
        </is>
      </c>
      <c r="G297" s="28">
        <f>IF(AND(ISNUMBER(SEARCH("Breakfast",$C297)),$D297="Asian"),RAND(),"")</f>
        <v/>
      </c>
      <c r="H297" s="28">
        <f>IF(AND(ISNUMBER(SEARCH("Breakfast",$C297)),$D297="Chinese"),RAND(),"")</f>
        <v/>
      </c>
      <c r="I297" s="28">
        <f>IF(AND(ISNUMBER(SEARCH("Breakfast",$C297)),$D297="Western"),RAND(),"")</f>
        <v/>
      </c>
      <c r="J297" s="28">
        <f>IF(AND(ISNUMBER(SEARCH("Lunch",$C297)),$D297="Asian"),RAND(),"")</f>
        <v/>
      </c>
      <c r="K297" s="28">
        <f>IF(AND(ISNUMBER(SEARCH("Lunch",$C297)),$D297="Chinese"),RAND(),"")</f>
        <v/>
      </c>
      <c r="L297" s="28">
        <f>IF(AND(ISNUMBER(SEARCH("Lunch",$C297)),$D297="Western"),RAND(),"")</f>
        <v/>
      </c>
      <c r="M297" s="28">
        <f>IF(AND(ISNUMBER(SEARCH("Dinner",$C297)),$D297="Asian"),RAND(),"")</f>
        <v/>
      </c>
      <c r="N297" s="28">
        <f>IF(AND(ISNUMBER(SEARCH("Dinner",$C297)),$D297="Chinese"),RAND(),"")</f>
        <v/>
      </c>
      <c r="O297" s="28">
        <f>IF(AND(ISNUMBER(SEARCH("Dinner",$C297)),$D297="Western"),RAND(),"")</f>
        <v/>
      </c>
    </row>
    <row r="298" ht="15.75" customHeight="1" s="36">
      <c r="A298" s="18" t="inlineStr">
        <is>
          <t>Oyster mushroom satay</t>
        </is>
      </c>
      <c r="B298" s="18" t="inlineStr">
        <is>
          <t>Oyster mushroom, Soy sauce, Coriander, Sesame oil, Peanut butter, Coconut milk, Lime, Ginger, Peanuts</t>
        </is>
      </c>
      <c r="C298" s="17" t="inlineStr">
        <is>
          <t>Dinner</t>
        </is>
      </c>
      <c r="D298" s="29" t="inlineStr">
        <is>
          <t>Asian</t>
        </is>
      </c>
      <c r="E298" s="17" t="inlineStr">
        <is>
          <t>Med</t>
        </is>
      </c>
      <c r="F298" s="19" t="inlineStr">
        <is>
          <t>https://www.kitchenstories.com/en/recipes/oyster-mushroom-satay-with-spicy-peanut-sauce</t>
        </is>
      </c>
      <c r="G298" s="27">
        <f>IF(AND(ISNUMBER(SEARCH("Breakfast",$C298)),$D298="Asian"),RAND(),"")</f>
        <v/>
      </c>
      <c r="H298" s="27">
        <f>IF(AND(ISNUMBER(SEARCH("Breakfast",$C298)),$D298="Chinese"),RAND(),"")</f>
        <v/>
      </c>
      <c r="I298" s="27">
        <f>IF(AND(ISNUMBER(SEARCH("Breakfast",$C298)),$D298="Western"),RAND(),"")</f>
        <v/>
      </c>
      <c r="J298" s="27">
        <f>IF(AND(ISNUMBER(SEARCH("Lunch",$C298)),$D298="Asian"),RAND(),"")</f>
        <v/>
      </c>
      <c r="K298" s="27">
        <f>IF(AND(ISNUMBER(SEARCH("Lunch",$C298)),$D298="Chinese"),RAND(),"")</f>
        <v/>
      </c>
      <c r="L298" s="27">
        <f>IF(AND(ISNUMBER(SEARCH("Lunch",$C298)),$D298="Western"),RAND(),"")</f>
        <v/>
      </c>
      <c r="M298" s="27">
        <f>IF(AND(ISNUMBER(SEARCH("Dinner",$C298)),$D298="Asian"),RAND(),"")</f>
        <v/>
      </c>
      <c r="N298" s="27">
        <f>IF(AND(ISNUMBER(SEARCH("Dinner",$C298)),$D298="Chinese"),RAND(),"")</f>
        <v/>
      </c>
      <c r="O298" s="27">
        <f>IF(AND(ISNUMBER(SEARCH("Dinner",$C298)),$D298="Western"),RAND(),"")</f>
        <v/>
      </c>
    </row>
    <row r="299" ht="15.75" customHeight="1" s="36">
      <c r="A299" s="22" t="inlineStr">
        <is>
          <t>Oyster Sauce Kailan</t>
        </is>
      </c>
      <c r="B299" s="22" t="inlineStr">
        <is>
          <t>Kai Lan, Oyster Sauce, Potato Starch, Garlic, Oil</t>
        </is>
      </c>
      <c r="C299" s="21" t="inlineStr">
        <is>
          <t>Dinner, Lunch</t>
        </is>
      </c>
      <c r="D299" s="26" t="inlineStr">
        <is>
          <t>Chinese</t>
        </is>
      </c>
      <c r="E299" s="21" t="inlineStr">
        <is>
          <t>High</t>
        </is>
      </c>
      <c r="F299" s="23" t="inlineStr">
        <is>
          <t>https://icook.tw/recipes/350461?utm_source=copy&amp;utm_medium=sharev3&amp;utm_campaign=recipe-share</t>
        </is>
      </c>
      <c r="G299" s="28">
        <f>IF(AND(ISNUMBER(SEARCH("Breakfast",$C299)),$D299="Asian"),RAND(),"")</f>
        <v/>
      </c>
      <c r="H299" s="28">
        <f>IF(AND(ISNUMBER(SEARCH("Breakfast",$C299)),$D299="Chinese"),RAND(),"")</f>
        <v/>
      </c>
      <c r="I299" s="28">
        <f>IF(AND(ISNUMBER(SEARCH("Breakfast",$C299)),$D299="Western"),RAND(),"")</f>
        <v/>
      </c>
      <c r="J299" s="28">
        <f>IF(AND(ISNUMBER(SEARCH("Lunch",$C299)),$D299="Asian"),RAND(),"")</f>
        <v/>
      </c>
      <c r="K299" s="28">
        <f>IF(AND(ISNUMBER(SEARCH("Lunch",$C299)),$D299="Chinese"),RAND(),"")</f>
        <v/>
      </c>
      <c r="L299" s="28">
        <f>IF(AND(ISNUMBER(SEARCH("Lunch",$C299)),$D299="Western"),RAND(),"")</f>
        <v/>
      </c>
      <c r="M299" s="28">
        <f>IF(AND(ISNUMBER(SEARCH("Dinner",$C299)),$D299="Asian"),RAND(),"")</f>
        <v/>
      </c>
      <c r="N299" s="28">
        <f>IF(AND(ISNUMBER(SEARCH("Dinner",$C299)),$D299="Chinese"),RAND(),"")</f>
        <v/>
      </c>
      <c r="O299" s="28">
        <f>IF(AND(ISNUMBER(SEARCH("Dinner",$C299)),$D299="Western"),RAND(),"")</f>
        <v/>
      </c>
    </row>
    <row r="300" ht="15.75" customHeight="1" s="36">
      <c r="A300" s="18" t="inlineStr">
        <is>
          <t>Pacific Clams and Vege</t>
        </is>
      </c>
      <c r="B300" s="18" t="inlineStr">
        <is>
          <t>Egg White, Goji Berry, Pacific Clams, Spinach, Garlic</t>
        </is>
      </c>
      <c r="C300" s="17" t="inlineStr">
        <is>
          <t>Dinner</t>
        </is>
      </c>
      <c r="D300" s="26" t="inlineStr">
        <is>
          <t>Chinese</t>
        </is>
      </c>
      <c r="E300" s="17" t="inlineStr">
        <is>
          <t>High</t>
        </is>
      </c>
      <c r="F300" s="19" t="inlineStr">
        <is>
          <t>https://www.instagram.com/reel/DDA3HnJT3SJ/?igsh=NHk0eThwMWRkeTBx</t>
        </is>
      </c>
      <c r="G300" s="27">
        <f>IF(AND(ISNUMBER(SEARCH("Breakfast",$C300)),$D300="Asian"),RAND(),"")</f>
        <v/>
      </c>
      <c r="H300" s="27">
        <f>IF(AND(ISNUMBER(SEARCH("Breakfast",$C300)),$D300="Chinese"),RAND(),"")</f>
        <v/>
      </c>
      <c r="I300" s="27">
        <f>IF(AND(ISNUMBER(SEARCH("Breakfast",$C300)),$D300="Western"),RAND(),"")</f>
        <v/>
      </c>
      <c r="J300" s="27">
        <f>IF(AND(ISNUMBER(SEARCH("Lunch",$C300)),$D300="Asian"),RAND(),"")</f>
        <v/>
      </c>
      <c r="K300" s="27">
        <f>IF(AND(ISNUMBER(SEARCH("Lunch",$C300)),$D300="Chinese"),RAND(),"")</f>
        <v/>
      </c>
      <c r="L300" s="27">
        <f>IF(AND(ISNUMBER(SEARCH("Lunch",$C300)),$D300="Western"),RAND(),"")</f>
        <v/>
      </c>
      <c r="M300" s="27">
        <f>IF(AND(ISNUMBER(SEARCH("Dinner",$C300)),$D300="Asian"),RAND(),"")</f>
        <v/>
      </c>
      <c r="N300" s="27">
        <f>IF(AND(ISNUMBER(SEARCH("Dinner",$C300)),$D300="Chinese"),RAND(),"")</f>
        <v/>
      </c>
      <c r="O300" s="27">
        <f>IF(AND(ISNUMBER(SEARCH("Dinner",$C300)),$D300="Western"),RAND(),"")</f>
        <v/>
      </c>
    </row>
    <row r="301" ht="15.75" customHeight="1" s="36">
      <c r="A301" s="22" t="inlineStr">
        <is>
          <t>Pan fried dumplings</t>
        </is>
      </c>
      <c r="B301" s="22" t="inlineStr">
        <is>
          <t>—</t>
        </is>
      </c>
      <c r="C301" s="21" t="inlineStr">
        <is>
          <t>Lunch</t>
        </is>
      </c>
      <c r="D301" s="33" t="inlineStr">
        <is>
          <t>Asian</t>
        </is>
      </c>
      <c r="E301" s="21" t="inlineStr">
        <is>
          <t>Low</t>
        </is>
      </c>
      <c r="F301" s="22" t="n"/>
      <c r="G301" s="28">
        <f>IF(AND(ISNUMBER(SEARCH("Breakfast",$C301)),$D301="Asian"),RAND(),"")</f>
        <v/>
      </c>
      <c r="H301" s="28">
        <f>IF(AND(ISNUMBER(SEARCH("Breakfast",$C301)),$D301="Chinese"),RAND(),"")</f>
        <v/>
      </c>
      <c r="I301" s="28">
        <f>IF(AND(ISNUMBER(SEARCH("Breakfast",$C301)),$D301="Western"),RAND(),"")</f>
        <v/>
      </c>
      <c r="J301" s="28">
        <f>IF(AND(ISNUMBER(SEARCH("Lunch",$C301)),$D301="Asian"),RAND(),"")</f>
        <v/>
      </c>
      <c r="K301" s="28">
        <f>IF(AND(ISNUMBER(SEARCH("Lunch",$C301)),$D301="Chinese"),RAND(),"")</f>
        <v/>
      </c>
      <c r="L301" s="28">
        <f>IF(AND(ISNUMBER(SEARCH("Lunch",$C301)),$D301="Western"),RAND(),"")</f>
        <v/>
      </c>
      <c r="M301" s="28">
        <f>IF(AND(ISNUMBER(SEARCH("Dinner",$C301)),$D301="Asian"),RAND(),"")</f>
        <v/>
      </c>
      <c r="N301" s="28">
        <f>IF(AND(ISNUMBER(SEARCH("Dinner",$C301)),$D301="Chinese"),RAND(),"")</f>
        <v/>
      </c>
      <c r="O301" s="28">
        <f>IF(AND(ISNUMBER(SEARCH("Dinner",$C301)),$D301="Western"),RAND(),"")</f>
        <v/>
      </c>
    </row>
    <row r="302" ht="15.75" customHeight="1" s="36">
      <c r="A302" s="18" t="inlineStr">
        <is>
          <t>Pan Fried Gyoza</t>
        </is>
      </c>
      <c r="B302" s="18" t="inlineStr">
        <is>
          <t>—</t>
        </is>
      </c>
      <c r="C302" s="17" t="inlineStr">
        <is>
          <t>Lunch</t>
        </is>
      </c>
      <c r="D302" s="29" t="inlineStr">
        <is>
          <t>Asian</t>
        </is>
      </c>
      <c r="E302" s="17" t="inlineStr">
        <is>
          <t>Med</t>
        </is>
      </c>
      <c r="F302" s="18" t="n"/>
      <c r="G302" s="27">
        <f>IF(AND(ISNUMBER(SEARCH("Breakfast",$C302)),$D302="Asian"),RAND(),"")</f>
        <v/>
      </c>
      <c r="H302" s="27">
        <f>IF(AND(ISNUMBER(SEARCH("Breakfast",$C302)),$D302="Chinese"),RAND(),"")</f>
        <v/>
      </c>
      <c r="I302" s="27">
        <f>IF(AND(ISNUMBER(SEARCH("Breakfast",$C302)),$D302="Western"),RAND(),"")</f>
        <v/>
      </c>
      <c r="J302" s="27">
        <f>IF(AND(ISNUMBER(SEARCH("Lunch",$C302)),$D302="Asian"),RAND(),"")</f>
        <v/>
      </c>
      <c r="K302" s="27">
        <f>IF(AND(ISNUMBER(SEARCH("Lunch",$C302)),$D302="Chinese"),RAND(),"")</f>
        <v/>
      </c>
      <c r="L302" s="27">
        <f>IF(AND(ISNUMBER(SEARCH("Lunch",$C302)),$D302="Western"),RAND(),"")</f>
        <v/>
      </c>
      <c r="M302" s="27">
        <f>IF(AND(ISNUMBER(SEARCH("Dinner",$C302)),$D302="Asian"),RAND(),"")</f>
        <v/>
      </c>
      <c r="N302" s="27">
        <f>IF(AND(ISNUMBER(SEARCH("Dinner",$C302)),$D302="Chinese"),RAND(),"")</f>
        <v/>
      </c>
      <c r="O302" s="27">
        <f>IF(AND(ISNUMBER(SEARCH("Dinner",$C302)),$D302="Western"),RAND(),"")</f>
        <v/>
      </c>
    </row>
    <row r="303" ht="15.75" customHeight="1" s="36">
      <c r="A303" s="22" t="inlineStr">
        <is>
          <t>Pan Fried Pork Jowl</t>
        </is>
      </c>
      <c r="B303" s="22" t="inlineStr">
        <is>
          <t>Pork Jowl/Porkcheek, Garlic, Spring Onion, Ginger</t>
        </is>
      </c>
      <c r="C303" s="21" t="inlineStr">
        <is>
          <t>Dinner</t>
        </is>
      </c>
      <c r="D303" s="33" t="inlineStr">
        <is>
          <t>Asian</t>
        </is>
      </c>
      <c r="E303" s="21" t="inlineStr">
        <is>
          <t>Low</t>
        </is>
      </c>
      <c r="F303" s="23" t="inlineStr">
        <is>
          <t>https://www.instagram.com/p/ChmmfRGP_J7/?igshid=N2NmMDY0OWE%3D</t>
        </is>
      </c>
      <c r="G303" s="28">
        <f>IF(AND(ISNUMBER(SEARCH("Breakfast",$C303)),$D303="Asian"),RAND(),"")</f>
        <v/>
      </c>
      <c r="H303" s="28">
        <f>IF(AND(ISNUMBER(SEARCH("Breakfast",$C303)),$D303="Chinese"),RAND(),"")</f>
        <v/>
      </c>
      <c r="I303" s="28">
        <f>IF(AND(ISNUMBER(SEARCH("Breakfast",$C303)),$D303="Western"),RAND(),"")</f>
        <v/>
      </c>
      <c r="J303" s="28">
        <f>IF(AND(ISNUMBER(SEARCH("Lunch",$C303)),$D303="Asian"),RAND(),"")</f>
        <v/>
      </c>
      <c r="K303" s="28">
        <f>IF(AND(ISNUMBER(SEARCH("Lunch",$C303)),$D303="Chinese"),RAND(),"")</f>
        <v/>
      </c>
      <c r="L303" s="28">
        <f>IF(AND(ISNUMBER(SEARCH("Lunch",$C303)),$D303="Western"),RAND(),"")</f>
        <v/>
      </c>
      <c r="M303" s="28">
        <f>IF(AND(ISNUMBER(SEARCH("Dinner",$C303)),$D303="Asian"),RAND(),"")</f>
        <v/>
      </c>
      <c r="N303" s="28">
        <f>IF(AND(ISNUMBER(SEARCH("Dinner",$C303)),$D303="Chinese"),RAND(),"")</f>
        <v/>
      </c>
      <c r="O303" s="28">
        <f>IF(AND(ISNUMBER(SEARCH("Dinner",$C303)),$D303="Western"),RAND(),"")</f>
        <v/>
      </c>
    </row>
    <row r="304" ht="15.75" customHeight="1" s="36">
      <c r="A304" s="18" t="inlineStr">
        <is>
          <t>Pan fry Egg</t>
        </is>
      </c>
      <c r="B304" s="18" t="inlineStr">
        <is>
          <t>—</t>
        </is>
      </c>
      <c r="C304" s="17" t="inlineStr">
        <is>
          <t>Dinner</t>
        </is>
      </c>
      <c r="D304" s="33" t="inlineStr">
        <is>
          <t>Western</t>
        </is>
      </c>
      <c r="E304" s="17" t="inlineStr">
        <is>
          <t>Low</t>
        </is>
      </c>
      <c r="F304" s="18" t="n"/>
      <c r="G304" s="27">
        <f>IF(AND(ISNUMBER(SEARCH("Breakfast",$C304)),$D304="Asian"),RAND(),"")</f>
        <v/>
      </c>
      <c r="H304" s="27">
        <f>IF(AND(ISNUMBER(SEARCH("Breakfast",$C304)),$D304="Chinese"),RAND(),"")</f>
        <v/>
      </c>
      <c r="I304" s="27">
        <f>IF(AND(ISNUMBER(SEARCH("Breakfast",$C304)),$D304="Western"),RAND(),"")</f>
        <v/>
      </c>
      <c r="J304" s="27">
        <f>IF(AND(ISNUMBER(SEARCH("Lunch",$C304)),$D304="Asian"),RAND(),"")</f>
        <v/>
      </c>
      <c r="K304" s="27">
        <f>IF(AND(ISNUMBER(SEARCH("Lunch",$C304)),$D304="Chinese"),RAND(),"")</f>
        <v/>
      </c>
      <c r="L304" s="27">
        <f>IF(AND(ISNUMBER(SEARCH("Lunch",$C304)),$D304="Western"),RAND(),"")</f>
        <v/>
      </c>
      <c r="M304" s="27">
        <f>IF(AND(ISNUMBER(SEARCH("Dinner",$C304)),$D304="Asian"),RAND(),"")</f>
        <v/>
      </c>
      <c r="N304" s="27">
        <f>IF(AND(ISNUMBER(SEARCH("Dinner",$C304)),$D304="Chinese"),RAND(),"")</f>
        <v/>
      </c>
      <c r="O304" s="27">
        <f>IF(AND(ISNUMBER(SEARCH("Dinner",$C304)),$D304="Western"),RAND(),"")</f>
        <v/>
      </c>
    </row>
    <row r="305" ht="15.75" customHeight="1" s="36">
      <c r="A305" s="22" t="inlineStr">
        <is>
          <t>Pan fry Salmon</t>
        </is>
      </c>
      <c r="B305" s="22" t="inlineStr">
        <is>
          <t>Salmon</t>
        </is>
      </c>
      <c r="C305" s="21" t="inlineStr">
        <is>
          <t>Lunch</t>
        </is>
      </c>
      <c r="D305" s="33" t="inlineStr">
        <is>
          <t>Western</t>
        </is>
      </c>
      <c r="E305" s="21" t="inlineStr">
        <is>
          <t>Low</t>
        </is>
      </c>
      <c r="F305" s="22" t="n"/>
      <c r="G305" s="28">
        <f>IF(AND(ISNUMBER(SEARCH("Breakfast",$C305)),$D305="Asian"),RAND(),"")</f>
        <v/>
      </c>
      <c r="H305" s="28">
        <f>IF(AND(ISNUMBER(SEARCH("Breakfast",$C305)),$D305="Chinese"),RAND(),"")</f>
        <v/>
      </c>
      <c r="I305" s="28">
        <f>IF(AND(ISNUMBER(SEARCH("Breakfast",$C305)),$D305="Western"),RAND(),"")</f>
        <v/>
      </c>
      <c r="J305" s="28">
        <f>IF(AND(ISNUMBER(SEARCH("Lunch",$C305)),$D305="Asian"),RAND(),"")</f>
        <v/>
      </c>
      <c r="K305" s="28">
        <f>IF(AND(ISNUMBER(SEARCH("Lunch",$C305)),$D305="Chinese"),RAND(),"")</f>
        <v/>
      </c>
      <c r="L305" s="28">
        <f>IF(AND(ISNUMBER(SEARCH("Lunch",$C305)),$D305="Western"),RAND(),"")</f>
        <v/>
      </c>
      <c r="M305" s="28">
        <f>IF(AND(ISNUMBER(SEARCH("Dinner",$C305)),$D305="Asian"),RAND(),"")</f>
        <v/>
      </c>
      <c r="N305" s="28">
        <f>IF(AND(ISNUMBER(SEARCH("Dinner",$C305)),$D305="Chinese"),RAND(),"")</f>
        <v/>
      </c>
      <c r="O305" s="28">
        <f>IF(AND(ISNUMBER(SEARCH("Dinner",$C305)),$D305="Western"),RAND(),"")</f>
        <v/>
      </c>
    </row>
    <row r="306" ht="15.75" customHeight="1" s="36">
      <c r="A306" s="18" t="inlineStr">
        <is>
          <t>Papaya Fish Soup</t>
        </is>
      </c>
      <c r="B306" s="18" t="inlineStr">
        <is>
          <t>—</t>
        </is>
      </c>
      <c r="C306" s="17" t="inlineStr">
        <is>
          <t>Dinner</t>
        </is>
      </c>
      <c r="D306" s="33" t="inlineStr">
        <is>
          <t>Chinese</t>
        </is>
      </c>
      <c r="E306" s="17" t="inlineStr">
        <is>
          <t>Low</t>
        </is>
      </c>
      <c r="F306" s="18" t="n"/>
      <c r="G306" s="27">
        <f>IF(AND(ISNUMBER(SEARCH("Breakfast",$C306)),$D306="Asian"),RAND(),"")</f>
        <v/>
      </c>
      <c r="H306" s="27">
        <f>IF(AND(ISNUMBER(SEARCH("Breakfast",$C306)),$D306="Chinese"),RAND(),"")</f>
        <v/>
      </c>
      <c r="I306" s="27">
        <f>IF(AND(ISNUMBER(SEARCH("Breakfast",$C306)),$D306="Western"),RAND(),"")</f>
        <v/>
      </c>
      <c r="J306" s="27">
        <f>IF(AND(ISNUMBER(SEARCH("Lunch",$C306)),$D306="Asian"),RAND(),"")</f>
        <v/>
      </c>
      <c r="K306" s="27">
        <f>IF(AND(ISNUMBER(SEARCH("Lunch",$C306)),$D306="Chinese"),RAND(),"")</f>
        <v/>
      </c>
      <c r="L306" s="27">
        <f>IF(AND(ISNUMBER(SEARCH("Lunch",$C306)),$D306="Western"),RAND(),"")</f>
        <v/>
      </c>
      <c r="M306" s="27">
        <f>IF(AND(ISNUMBER(SEARCH("Dinner",$C306)),$D306="Asian"),RAND(),"")</f>
        <v/>
      </c>
      <c r="N306" s="27">
        <f>IF(AND(ISNUMBER(SEARCH("Dinner",$C306)),$D306="Chinese"),RAND(),"")</f>
        <v/>
      </c>
      <c r="O306" s="27">
        <f>IF(AND(ISNUMBER(SEARCH("Dinner",$C306)),$D306="Western"),RAND(),"")</f>
        <v/>
      </c>
      <c r="P306" s="0" t="b">
        <v>1</v>
      </c>
    </row>
    <row r="307" ht="15.75" customHeight="1" s="36">
      <c r="A307" s="22" t="inlineStr">
        <is>
          <t>Paper wrapped Seafood</t>
        </is>
      </c>
      <c r="B307" s="22" t="inlineStr">
        <is>
          <t>Halibut Fish, Prawns, Onion, zuchhini, bell peppers, lemon</t>
        </is>
      </c>
      <c r="C307" s="21" t="inlineStr">
        <is>
          <t>Dinner</t>
        </is>
      </c>
      <c r="D307" s="30" t="inlineStr">
        <is>
          <t>Western</t>
        </is>
      </c>
      <c r="E307" s="21" t="inlineStr">
        <is>
          <t>Med</t>
        </is>
      </c>
      <c r="F307" s="23" t="inlineStr">
        <is>
          <t>https://www.instagram.com/reel/C4vMfZPPo2N/?igsh=MWd4N3JvNzc0ejczcw==</t>
        </is>
      </c>
      <c r="G307" s="28">
        <f>IF(AND(ISNUMBER(SEARCH("Breakfast",$C307)),$D307="Asian"),RAND(),"")</f>
        <v/>
      </c>
      <c r="H307" s="28">
        <f>IF(AND(ISNUMBER(SEARCH("Breakfast",$C307)),$D307="Chinese"),RAND(),"")</f>
        <v/>
      </c>
      <c r="I307" s="28">
        <f>IF(AND(ISNUMBER(SEARCH("Breakfast",$C307)),$D307="Western"),RAND(),"")</f>
        <v/>
      </c>
      <c r="J307" s="28">
        <f>IF(AND(ISNUMBER(SEARCH("Lunch",$C307)),$D307="Asian"),RAND(),"")</f>
        <v/>
      </c>
      <c r="K307" s="28">
        <f>IF(AND(ISNUMBER(SEARCH("Lunch",$C307)),$D307="Chinese"),RAND(),"")</f>
        <v/>
      </c>
      <c r="L307" s="28">
        <f>IF(AND(ISNUMBER(SEARCH("Lunch",$C307)),$D307="Western"),RAND(),"")</f>
        <v/>
      </c>
      <c r="M307" s="28">
        <f>IF(AND(ISNUMBER(SEARCH("Dinner",$C307)),$D307="Asian"),RAND(),"")</f>
        <v/>
      </c>
      <c r="N307" s="28">
        <f>IF(AND(ISNUMBER(SEARCH("Dinner",$C307)),$D307="Chinese"),RAND(),"")</f>
        <v/>
      </c>
      <c r="O307" s="28">
        <f>IF(AND(ISNUMBER(SEARCH("Dinner",$C307)),$D307="Western"),RAND(),"")</f>
        <v/>
      </c>
    </row>
    <row r="308" ht="15.75" customHeight="1" s="36">
      <c r="A308" s="18" t="inlineStr">
        <is>
          <t>Parmasean Potato</t>
        </is>
      </c>
      <c r="B308" s="18" t="inlineStr">
        <is>
          <t>Potato, Butter, Parmasen Cheese, Garlic Powder, Thyme</t>
        </is>
      </c>
      <c r="C308" s="17" t="inlineStr">
        <is>
          <t>Dinner</t>
        </is>
      </c>
      <c r="D308" s="33" t="inlineStr">
        <is>
          <t>Western</t>
        </is>
      </c>
      <c r="E308" s="17" t="inlineStr">
        <is>
          <t>Low</t>
        </is>
      </c>
      <c r="F308" s="19" t="inlineStr">
        <is>
          <t>https://youtu.be/OLUkj1At-GQ</t>
        </is>
      </c>
      <c r="G308" s="27">
        <f>IF(AND(ISNUMBER(SEARCH("Breakfast",$C308)),$D308="Asian"),RAND(),"")</f>
        <v/>
      </c>
      <c r="H308" s="27">
        <f>IF(AND(ISNUMBER(SEARCH("Breakfast",$C308)),$D308="Chinese"),RAND(),"")</f>
        <v/>
      </c>
      <c r="I308" s="27">
        <f>IF(AND(ISNUMBER(SEARCH("Breakfast",$C308)),$D308="Western"),RAND(),"")</f>
        <v/>
      </c>
      <c r="J308" s="27">
        <f>IF(AND(ISNUMBER(SEARCH("Lunch",$C308)),$D308="Asian"),RAND(),"")</f>
        <v/>
      </c>
      <c r="K308" s="27">
        <f>IF(AND(ISNUMBER(SEARCH("Lunch",$C308)),$D308="Chinese"),RAND(),"")</f>
        <v/>
      </c>
      <c r="L308" s="27">
        <f>IF(AND(ISNUMBER(SEARCH("Lunch",$C308)),$D308="Western"),RAND(),"")</f>
        <v/>
      </c>
      <c r="M308" s="27">
        <f>IF(AND(ISNUMBER(SEARCH("Dinner",$C308)),$D308="Asian"),RAND(),"")</f>
        <v/>
      </c>
      <c r="N308" s="27">
        <f>IF(AND(ISNUMBER(SEARCH("Dinner",$C308)),$D308="Chinese"),RAND(),"")</f>
        <v/>
      </c>
      <c r="O308" s="27">
        <f>IF(AND(ISNUMBER(SEARCH("Dinner",$C308)),$D308="Western"),RAND(),"")</f>
        <v/>
      </c>
    </row>
    <row r="309" ht="15.75" customHeight="1" s="36">
      <c r="A309" s="22" t="inlineStr">
        <is>
          <t>Pea Pork Soup</t>
        </is>
      </c>
      <c r="B309" s="22" t="inlineStr">
        <is>
          <t>Minced Pork, Green Peas, Ginger</t>
        </is>
      </c>
      <c r="C309" s="21" t="inlineStr">
        <is>
          <t>Dinner</t>
        </is>
      </c>
      <c r="D309" s="33" t="inlineStr">
        <is>
          <t>Western</t>
        </is>
      </c>
      <c r="E309" s="21" t="inlineStr">
        <is>
          <t>Low</t>
        </is>
      </c>
      <c r="F309" s="23" t="inlineStr">
        <is>
          <t>http://xhslink.com/u5BmJq</t>
        </is>
      </c>
      <c r="G309" s="28">
        <f>IF(AND(ISNUMBER(SEARCH("Breakfast",$C309)),$D309="Asian"),RAND(),"")</f>
        <v/>
      </c>
      <c r="H309" s="28">
        <f>IF(AND(ISNUMBER(SEARCH("Breakfast",$C309)),$D309="Chinese"),RAND(),"")</f>
        <v/>
      </c>
      <c r="I309" s="28">
        <f>IF(AND(ISNUMBER(SEARCH("Breakfast",$C309)),$D309="Western"),RAND(),"")</f>
        <v/>
      </c>
      <c r="J309" s="28">
        <f>IF(AND(ISNUMBER(SEARCH("Lunch",$C309)),$D309="Asian"),RAND(),"")</f>
        <v/>
      </c>
      <c r="K309" s="28">
        <f>IF(AND(ISNUMBER(SEARCH("Lunch",$C309)),$D309="Chinese"),RAND(),"")</f>
        <v/>
      </c>
      <c r="L309" s="28">
        <f>IF(AND(ISNUMBER(SEARCH("Lunch",$C309)),$D309="Western"),RAND(),"")</f>
        <v/>
      </c>
      <c r="M309" s="28">
        <f>IF(AND(ISNUMBER(SEARCH("Dinner",$C309)),$D309="Asian"),RAND(),"")</f>
        <v/>
      </c>
      <c r="N309" s="28">
        <f>IF(AND(ISNUMBER(SEARCH("Dinner",$C309)),$D309="Chinese"),RAND(),"")</f>
        <v/>
      </c>
      <c r="O309" s="28">
        <f>IF(AND(ISNUMBER(SEARCH("Dinner",$C309)),$D309="Western"),RAND(),"")</f>
        <v/>
      </c>
      <c r="P309" s="0" t="b">
        <v>1</v>
      </c>
    </row>
    <row r="310" ht="15.75" customHeight="1" s="36">
      <c r="A310" s="18" t="inlineStr">
        <is>
          <t>Peanut Porridge</t>
        </is>
      </c>
      <c r="B310" s="18" t="inlineStr">
        <is>
          <t>Peanut, Red Rice, Red Dates</t>
        </is>
      </c>
      <c r="C310" s="17" t="inlineStr">
        <is>
          <t>Lunch</t>
        </is>
      </c>
      <c r="D310" s="26" t="inlineStr">
        <is>
          <t>Chinese</t>
        </is>
      </c>
      <c r="E310" s="17" t="inlineStr">
        <is>
          <t>Med</t>
        </is>
      </c>
      <c r="F310" s="18" t="n"/>
      <c r="G310" s="27">
        <f>IF(AND(ISNUMBER(SEARCH("Breakfast",$C310)),$D310="Asian"),RAND(),"")</f>
        <v/>
      </c>
      <c r="H310" s="27">
        <f>IF(AND(ISNUMBER(SEARCH("Breakfast",$C310)),$D310="Chinese"),RAND(),"")</f>
        <v/>
      </c>
      <c r="I310" s="27">
        <f>IF(AND(ISNUMBER(SEARCH("Breakfast",$C310)),$D310="Western"),RAND(),"")</f>
        <v/>
      </c>
      <c r="J310" s="27">
        <f>IF(AND(ISNUMBER(SEARCH("Lunch",$C310)),$D310="Asian"),RAND(),"")</f>
        <v/>
      </c>
      <c r="K310" s="27">
        <f>IF(AND(ISNUMBER(SEARCH("Lunch",$C310)),$D310="Chinese"),RAND(),"")</f>
        <v/>
      </c>
      <c r="L310" s="27">
        <f>IF(AND(ISNUMBER(SEARCH("Lunch",$C310)),$D310="Western"),RAND(),"")</f>
        <v/>
      </c>
      <c r="M310" s="27">
        <f>IF(AND(ISNUMBER(SEARCH("Dinner",$C310)),$D310="Asian"),RAND(),"")</f>
        <v/>
      </c>
      <c r="N310" s="27">
        <f>IF(AND(ISNUMBER(SEARCH("Dinner",$C310)),$D310="Chinese"),RAND(),"")</f>
        <v/>
      </c>
      <c r="O310" s="27">
        <f>IF(AND(ISNUMBER(SEARCH("Dinner",$C310)),$D310="Western"),RAND(),"")</f>
        <v/>
      </c>
    </row>
    <row r="311" ht="15.75" customHeight="1" s="36">
      <c r="A311" s="22" t="inlineStr">
        <is>
          <t>Pencai</t>
        </is>
      </c>
      <c r="B311" s="32" t="inlineStr">
        <is>
          <t>大白菜, Abalone, Prawn, Roast meat, Scallops, Enoki mushroom, Lala, Sea Cucumber</t>
        </is>
      </c>
      <c r="C311" s="21" t="inlineStr">
        <is>
          <t>Dinner</t>
        </is>
      </c>
      <c r="D311" s="26" t="inlineStr">
        <is>
          <t>Chinese</t>
        </is>
      </c>
      <c r="E311" s="21" t="inlineStr">
        <is>
          <t>High</t>
        </is>
      </c>
      <c r="F311" s="22" t="n"/>
      <c r="G311" s="28">
        <f>IF(AND(ISNUMBER(SEARCH("Breakfast",$C311)),$D311="Asian"),RAND(),"")</f>
        <v/>
      </c>
      <c r="H311" s="28">
        <f>IF(AND(ISNUMBER(SEARCH("Breakfast",$C311)),$D311="Chinese"),RAND(),"")</f>
        <v/>
      </c>
      <c r="I311" s="28">
        <f>IF(AND(ISNUMBER(SEARCH("Breakfast",$C311)),$D311="Western"),RAND(),"")</f>
        <v/>
      </c>
      <c r="J311" s="28">
        <f>IF(AND(ISNUMBER(SEARCH("Lunch",$C311)),$D311="Asian"),RAND(),"")</f>
        <v/>
      </c>
      <c r="K311" s="28">
        <f>IF(AND(ISNUMBER(SEARCH("Lunch",$C311)),$D311="Chinese"),RAND(),"")</f>
        <v/>
      </c>
      <c r="L311" s="28">
        <f>IF(AND(ISNUMBER(SEARCH("Lunch",$C311)),$D311="Western"),RAND(),"")</f>
        <v/>
      </c>
      <c r="M311" s="28">
        <f>IF(AND(ISNUMBER(SEARCH("Dinner",$C311)),$D311="Asian"),RAND(),"")</f>
        <v/>
      </c>
      <c r="N311" s="28">
        <f>IF(AND(ISNUMBER(SEARCH("Dinner",$C311)),$D311="Chinese"),RAND(),"")</f>
        <v/>
      </c>
      <c r="O311" s="28">
        <f>IF(AND(ISNUMBER(SEARCH("Dinner",$C311)),$D311="Western"),RAND(),"")</f>
        <v/>
      </c>
    </row>
    <row r="312" ht="15.75" customHeight="1" s="36">
      <c r="A312" s="18" t="inlineStr">
        <is>
          <t>Pepper Tofu</t>
        </is>
      </c>
      <c r="B312" s="18" t="inlineStr">
        <is>
          <t>Thick Tofu, Ladyfinger, Ginger, Spring Onion, Garlic</t>
        </is>
      </c>
      <c r="C312" s="17" t="inlineStr">
        <is>
          <t>Dinner</t>
        </is>
      </c>
      <c r="D312" s="26" t="inlineStr">
        <is>
          <t>Chinese</t>
        </is>
      </c>
      <c r="E312" s="17" t="inlineStr">
        <is>
          <t>Med</t>
        </is>
      </c>
      <c r="F312" s="19" t="inlineStr">
        <is>
          <t>https://icook.tw/recipes/383431?utm_source=copy&amp;utm_medium=sharev3&amp;utm_campaign=recipe-share</t>
        </is>
      </c>
      <c r="G312" s="27">
        <f>IF(AND(ISNUMBER(SEARCH("Breakfast",$C312)),$D312="Asian"),RAND(),"")</f>
        <v/>
      </c>
      <c r="H312" s="27">
        <f>IF(AND(ISNUMBER(SEARCH("Breakfast",$C312)),$D312="Chinese"),RAND(),"")</f>
        <v/>
      </c>
      <c r="I312" s="27">
        <f>IF(AND(ISNUMBER(SEARCH("Breakfast",$C312)),$D312="Western"),RAND(),"")</f>
        <v/>
      </c>
      <c r="J312" s="27">
        <f>IF(AND(ISNUMBER(SEARCH("Lunch",$C312)),$D312="Asian"),RAND(),"")</f>
        <v/>
      </c>
      <c r="K312" s="27">
        <f>IF(AND(ISNUMBER(SEARCH("Lunch",$C312)),$D312="Chinese"),RAND(),"")</f>
        <v/>
      </c>
      <c r="L312" s="27">
        <f>IF(AND(ISNUMBER(SEARCH("Lunch",$C312)),$D312="Western"),RAND(),"")</f>
        <v/>
      </c>
      <c r="M312" s="27">
        <f>IF(AND(ISNUMBER(SEARCH("Dinner",$C312)),$D312="Asian"),RAND(),"")</f>
        <v/>
      </c>
      <c r="N312" s="27">
        <f>IF(AND(ISNUMBER(SEARCH("Dinner",$C312)),$D312="Chinese"),RAND(),"")</f>
        <v/>
      </c>
      <c r="O312" s="27">
        <f>IF(AND(ISNUMBER(SEARCH("Dinner",$C312)),$D312="Western"),RAND(),"")</f>
        <v/>
      </c>
    </row>
    <row r="313" ht="15.75" customHeight="1" s="36">
      <c r="A313" s="22" t="inlineStr">
        <is>
          <t>perilla leaf and daikon</t>
        </is>
      </c>
      <c r="B313" s="22" t="inlineStr">
        <is>
          <t>perilla leaf (japanese), daikon, vinegar</t>
        </is>
      </c>
      <c r="C313" s="21" t="inlineStr">
        <is>
          <t>Dinner</t>
        </is>
      </c>
      <c r="D313" s="29" t="inlineStr">
        <is>
          <t>Asian</t>
        </is>
      </c>
      <c r="E313" s="21" t="inlineStr">
        <is>
          <t>High</t>
        </is>
      </c>
      <c r="F313" s="23" t="inlineStr">
        <is>
          <t>https://www.instagram.com/reel/DWyGgNsj0PA/?igsh=dW96OTg5ZXN3Zndk</t>
        </is>
      </c>
      <c r="G313" s="28">
        <f>IF(AND(ISNUMBER(SEARCH("Breakfast",$C313)),$D313="Asian"),RAND(),"")</f>
        <v/>
      </c>
      <c r="H313" s="28">
        <f>IF(AND(ISNUMBER(SEARCH("Breakfast",$C313)),$D313="Chinese"),RAND(),"")</f>
        <v/>
      </c>
      <c r="I313" s="28">
        <f>IF(AND(ISNUMBER(SEARCH("Breakfast",$C313)),$D313="Western"),RAND(),"")</f>
        <v/>
      </c>
      <c r="J313" s="28">
        <f>IF(AND(ISNUMBER(SEARCH("Lunch",$C313)),$D313="Asian"),RAND(),"")</f>
        <v/>
      </c>
      <c r="K313" s="28">
        <f>IF(AND(ISNUMBER(SEARCH("Lunch",$C313)),$D313="Chinese"),RAND(),"")</f>
        <v/>
      </c>
      <c r="L313" s="28">
        <f>IF(AND(ISNUMBER(SEARCH("Lunch",$C313)),$D313="Western"),RAND(),"")</f>
        <v/>
      </c>
      <c r="M313" s="28">
        <f>IF(AND(ISNUMBER(SEARCH("Dinner",$C313)),$D313="Asian"),RAND(),"")</f>
        <v/>
      </c>
      <c r="N313" s="28">
        <f>IF(AND(ISNUMBER(SEARCH("Dinner",$C313)),$D313="Chinese"),RAND(),"")</f>
        <v/>
      </c>
      <c r="O313" s="28">
        <f>IF(AND(ISNUMBER(SEARCH("Dinner",$C313)),$D313="Western"),RAND(),"")</f>
        <v/>
      </c>
    </row>
    <row r="314" ht="15.75" customHeight="1" s="36">
      <c r="A314" s="18" t="inlineStr">
        <is>
          <t>Pickled White Radish</t>
        </is>
      </c>
      <c r="B314" s="18" t="inlineStr">
        <is>
          <t>White Raddish, Salt, Yuzu Honey, White Vinegar</t>
        </is>
      </c>
      <c r="C314" s="17" t="inlineStr">
        <is>
          <t>Dinner</t>
        </is>
      </c>
      <c r="D314" s="29" t="inlineStr">
        <is>
          <t>Asian</t>
        </is>
      </c>
      <c r="E314" s="17" t="inlineStr">
        <is>
          <t>Med</t>
        </is>
      </c>
      <c r="F314" s="19" t="inlineStr">
        <is>
          <t>https://www.instagram.com/tv/CbkZtZdpGwq/?utm_medium=copy_link</t>
        </is>
      </c>
      <c r="G314" s="27">
        <f>IF(AND(ISNUMBER(SEARCH("Breakfast",$C314)),$D314="Asian"),RAND(),"")</f>
        <v/>
      </c>
      <c r="H314" s="27">
        <f>IF(AND(ISNUMBER(SEARCH("Breakfast",$C314)),$D314="Chinese"),RAND(),"")</f>
        <v/>
      </c>
      <c r="I314" s="27">
        <f>IF(AND(ISNUMBER(SEARCH("Breakfast",$C314)),$D314="Western"),RAND(),"")</f>
        <v/>
      </c>
      <c r="J314" s="27">
        <f>IF(AND(ISNUMBER(SEARCH("Lunch",$C314)),$D314="Asian"),RAND(),"")</f>
        <v/>
      </c>
      <c r="K314" s="27">
        <f>IF(AND(ISNUMBER(SEARCH("Lunch",$C314)),$D314="Chinese"),RAND(),"")</f>
        <v/>
      </c>
      <c r="L314" s="27">
        <f>IF(AND(ISNUMBER(SEARCH("Lunch",$C314)),$D314="Western"),RAND(),"")</f>
        <v/>
      </c>
      <c r="M314" s="27">
        <f>IF(AND(ISNUMBER(SEARCH("Dinner",$C314)),$D314="Asian"),RAND(),"")</f>
        <v/>
      </c>
      <c r="N314" s="27">
        <f>IF(AND(ISNUMBER(SEARCH("Dinner",$C314)),$D314="Chinese"),RAND(),"")</f>
        <v/>
      </c>
      <c r="O314" s="27">
        <f>IF(AND(ISNUMBER(SEARCH("Dinner",$C314)),$D314="Western"),RAND(),"")</f>
        <v/>
      </c>
    </row>
    <row r="315" ht="15.75" customHeight="1" s="36">
      <c r="A315" s="22" t="inlineStr">
        <is>
          <t>PIdan</t>
        </is>
      </c>
      <c r="B315" s="32" t="inlineStr">
        <is>
          <t>韭菜花</t>
        </is>
      </c>
      <c r="C315" s="21" t="inlineStr">
        <is>
          <t>Dinner</t>
        </is>
      </c>
      <c r="D315" s="26" t="inlineStr">
        <is>
          <t>Chinese</t>
        </is>
      </c>
      <c r="E315" s="21" t="inlineStr">
        <is>
          <t>Med</t>
        </is>
      </c>
      <c r="F315" s="23" t="inlineStr">
        <is>
          <t>https://icook.tw/recipes/410694?utm_source=copy&amp;utm_medium=sharev3&amp;utm_campaign=recipe-share</t>
        </is>
      </c>
      <c r="G315" s="28">
        <f>IF(AND(ISNUMBER(SEARCH("Breakfast",$C315)),$D315="Asian"),RAND(),"")</f>
        <v/>
      </c>
      <c r="H315" s="28">
        <f>IF(AND(ISNUMBER(SEARCH("Breakfast",$C315)),$D315="Chinese"),RAND(),"")</f>
        <v/>
      </c>
      <c r="I315" s="28">
        <f>IF(AND(ISNUMBER(SEARCH("Breakfast",$C315)),$D315="Western"),RAND(),"")</f>
        <v/>
      </c>
      <c r="J315" s="28">
        <f>IF(AND(ISNUMBER(SEARCH("Lunch",$C315)),$D315="Asian"),RAND(),"")</f>
        <v/>
      </c>
      <c r="K315" s="28">
        <f>IF(AND(ISNUMBER(SEARCH("Lunch",$C315)),$D315="Chinese"),RAND(),"")</f>
        <v/>
      </c>
      <c r="L315" s="28">
        <f>IF(AND(ISNUMBER(SEARCH("Lunch",$C315)),$D315="Western"),RAND(),"")</f>
        <v/>
      </c>
      <c r="M315" s="28">
        <f>IF(AND(ISNUMBER(SEARCH("Dinner",$C315)),$D315="Asian"),RAND(),"")</f>
        <v/>
      </c>
      <c r="N315" s="28">
        <f>IF(AND(ISNUMBER(SEARCH("Dinner",$C315)),$D315="Chinese"),RAND(),"")</f>
        <v/>
      </c>
      <c r="O315" s="28">
        <f>IF(AND(ISNUMBER(SEARCH("Dinner",$C315)),$D315="Western"),RAND(),"")</f>
        <v/>
      </c>
    </row>
    <row r="316" ht="15.75" customHeight="1" s="36">
      <c r="A316" s="18" t="inlineStr">
        <is>
          <t>Pidan tofu</t>
        </is>
      </c>
      <c r="B316" s="18" t="inlineStr">
        <is>
          <t>Silken tofu, Pidan x3, Japanese sesame sauce, Mirin, Sake, Sugar, Spring onion, Tobiko</t>
        </is>
      </c>
      <c r="C316" s="17" t="inlineStr">
        <is>
          <t>Dinner</t>
        </is>
      </c>
      <c r="D316" s="29" t="inlineStr">
        <is>
          <t>Asian</t>
        </is>
      </c>
      <c r="E316" s="17" t="inlineStr">
        <is>
          <t>High</t>
        </is>
      </c>
      <c r="F316" s="19" t="inlineStr">
        <is>
          <t>https://www.instagram.com/reel/DOlTiNQjxjw/?igsh=MTNiN2pxZmtoYXMz</t>
        </is>
      </c>
      <c r="G316" s="27">
        <f>IF(AND(ISNUMBER(SEARCH("Breakfast",$C316)),$D316="Asian"),RAND(),"")</f>
        <v/>
      </c>
      <c r="H316" s="27">
        <f>IF(AND(ISNUMBER(SEARCH("Breakfast",$C316)),$D316="Chinese"),RAND(),"")</f>
        <v/>
      </c>
      <c r="I316" s="27">
        <f>IF(AND(ISNUMBER(SEARCH("Breakfast",$C316)),$D316="Western"),RAND(),"")</f>
        <v/>
      </c>
      <c r="J316" s="27">
        <f>IF(AND(ISNUMBER(SEARCH("Lunch",$C316)),$D316="Asian"),RAND(),"")</f>
        <v/>
      </c>
      <c r="K316" s="27">
        <f>IF(AND(ISNUMBER(SEARCH("Lunch",$C316)),$D316="Chinese"),RAND(),"")</f>
        <v/>
      </c>
      <c r="L316" s="27">
        <f>IF(AND(ISNUMBER(SEARCH("Lunch",$C316)),$D316="Western"),RAND(),"")</f>
        <v/>
      </c>
      <c r="M316" s="27">
        <f>IF(AND(ISNUMBER(SEARCH("Dinner",$C316)),$D316="Asian"),RAND(),"")</f>
        <v/>
      </c>
      <c r="N316" s="27">
        <f>IF(AND(ISNUMBER(SEARCH("Dinner",$C316)),$D316="Chinese"),RAND(),"")</f>
        <v/>
      </c>
      <c r="O316" s="27">
        <f>IF(AND(ISNUMBER(SEARCH("Dinner",$C316)),$D316="Western"),RAND(),"")</f>
        <v/>
      </c>
    </row>
    <row r="317" ht="15.75" customHeight="1" s="36">
      <c r="A317" s="22" t="inlineStr">
        <is>
          <t>pig stomach</t>
        </is>
      </c>
      <c r="B317" s="22" t="inlineStr">
        <is>
          <t>—</t>
        </is>
      </c>
      <c r="C317" s="21" t="inlineStr">
        <is>
          <t>Dinner</t>
        </is>
      </c>
      <c r="D317" s="33" t="inlineStr">
        <is>
          <t>Chinese</t>
        </is>
      </c>
      <c r="E317" s="21" t="inlineStr">
        <is>
          <t>Low</t>
        </is>
      </c>
      <c r="F317" s="22" t="n"/>
      <c r="G317" s="28">
        <f>IF(AND(ISNUMBER(SEARCH("Breakfast",$C317)),$D317="Asian"),RAND(),"")</f>
        <v/>
      </c>
      <c r="H317" s="28">
        <f>IF(AND(ISNUMBER(SEARCH("Breakfast",$C317)),$D317="Chinese"),RAND(),"")</f>
        <v/>
      </c>
      <c r="I317" s="28">
        <f>IF(AND(ISNUMBER(SEARCH("Breakfast",$C317)),$D317="Western"),RAND(),"")</f>
        <v/>
      </c>
      <c r="J317" s="28">
        <f>IF(AND(ISNUMBER(SEARCH("Lunch",$C317)),$D317="Asian"),RAND(),"")</f>
        <v/>
      </c>
      <c r="K317" s="28">
        <f>IF(AND(ISNUMBER(SEARCH("Lunch",$C317)),$D317="Chinese"),RAND(),"")</f>
        <v/>
      </c>
      <c r="L317" s="28">
        <f>IF(AND(ISNUMBER(SEARCH("Lunch",$C317)),$D317="Western"),RAND(),"")</f>
        <v/>
      </c>
      <c r="M317" s="28">
        <f>IF(AND(ISNUMBER(SEARCH("Dinner",$C317)),$D317="Asian"),RAND(),"")</f>
        <v/>
      </c>
      <c r="N317" s="28">
        <f>IF(AND(ISNUMBER(SEARCH("Dinner",$C317)),$D317="Chinese"),RAND(),"")</f>
        <v/>
      </c>
      <c r="O317" s="28">
        <f>IF(AND(ISNUMBER(SEARCH("Dinner",$C317)),$D317="Western"),RAND(),"")</f>
        <v/>
      </c>
    </row>
    <row r="318" ht="15.75" customHeight="1" s="36">
      <c r="A318" s="18" t="inlineStr">
        <is>
          <t>Pig Trotter Vinegar</t>
        </is>
      </c>
      <c r="B318" s="31" t="inlineStr">
        <is>
          <t>猪脚</t>
        </is>
      </c>
      <c r="C318" s="17" t="inlineStr">
        <is>
          <t>Dinner</t>
        </is>
      </c>
      <c r="D318" s="33" t="inlineStr">
        <is>
          <t>Chinese</t>
        </is>
      </c>
      <c r="E318" s="17" t="inlineStr">
        <is>
          <t>Low</t>
        </is>
      </c>
      <c r="F318" s="18" t="n"/>
      <c r="G318" s="27">
        <f>IF(AND(ISNUMBER(SEARCH("Breakfast",$C318)),$D318="Asian"),RAND(),"")</f>
        <v/>
      </c>
      <c r="H318" s="27">
        <f>IF(AND(ISNUMBER(SEARCH("Breakfast",$C318)),$D318="Chinese"),RAND(),"")</f>
        <v/>
      </c>
      <c r="I318" s="27">
        <f>IF(AND(ISNUMBER(SEARCH("Breakfast",$C318)),$D318="Western"),RAND(),"")</f>
        <v/>
      </c>
      <c r="J318" s="27">
        <f>IF(AND(ISNUMBER(SEARCH("Lunch",$C318)),$D318="Asian"),RAND(),"")</f>
        <v/>
      </c>
      <c r="K318" s="27">
        <f>IF(AND(ISNUMBER(SEARCH("Lunch",$C318)),$D318="Chinese"),RAND(),"")</f>
        <v/>
      </c>
      <c r="L318" s="27">
        <f>IF(AND(ISNUMBER(SEARCH("Lunch",$C318)),$D318="Western"),RAND(),"")</f>
        <v/>
      </c>
      <c r="M318" s="27">
        <f>IF(AND(ISNUMBER(SEARCH("Dinner",$C318)),$D318="Asian"),RAND(),"")</f>
        <v/>
      </c>
      <c r="N318" s="27">
        <f>IF(AND(ISNUMBER(SEARCH("Dinner",$C318)),$D318="Chinese"),RAND(),"")</f>
        <v/>
      </c>
      <c r="O318" s="27">
        <f>IF(AND(ISNUMBER(SEARCH("Dinner",$C318)),$D318="Western"),RAND(),"")</f>
        <v/>
      </c>
    </row>
    <row r="319" ht="15.75" customHeight="1" s="36">
      <c r="A319" s="22" t="inlineStr">
        <is>
          <t>Pineapple Curry</t>
        </is>
      </c>
      <c r="B319" s="22" t="inlineStr">
        <is>
          <t>Nyonya Curry, Pineapple cubes, Fish Head and Fish Tail, Kaffir Leaves, coconut milk</t>
        </is>
      </c>
      <c r="C319" s="21" t="inlineStr">
        <is>
          <t>Dinner</t>
        </is>
      </c>
      <c r="D319" s="29" t="inlineStr">
        <is>
          <t>Asian</t>
        </is>
      </c>
      <c r="E319" s="21" t="inlineStr">
        <is>
          <t>Med</t>
        </is>
      </c>
      <c r="F319" s="23" t="inlineStr">
        <is>
          <t>https://www.instagram.com/reel/DNnJNhlyKbO/?igsh=aXQwbGQyMTluNDBm</t>
        </is>
      </c>
      <c r="G319" s="28">
        <f>IF(AND(ISNUMBER(SEARCH("Breakfast",$C319)),$D319="Asian"),RAND(),"")</f>
        <v/>
      </c>
      <c r="H319" s="28">
        <f>IF(AND(ISNUMBER(SEARCH("Breakfast",$C319)),$D319="Chinese"),RAND(),"")</f>
        <v/>
      </c>
      <c r="I319" s="28">
        <f>IF(AND(ISNUMBER(SEARCH("Breakfast",$C319)),$D319="Western"),RAND(),"")</f>
        <v/>
      </c>
      <c r="J319" s="28">
        <f>IF(AND(ISNUMBER(SEARCH("Lunch",$C319)),$D319="Asian"),RAND(),"")</f>
        <v/>
      </c>
      <c r="K319" s="28">
        <f>IF(AND(ISNUMBER(SEARCH("Lunch",$C319)),$D319="Chinese"),RAND(),"")</f>
        <v/>
      </c>
      <c r="L319" s="28">
        <f>IF(AND(ISNUMBER(SEARCH("Lunch",$C319)),$D319="Western"),RAND(),"")</f>
        <v/>
      </c>
      <c r="M319" s="28">
        <f>IF(AND(ISNUMBER(SEARCH("Dinner",$C319)),$D319="Asian"),RAND(),"")</f>
        <v/>
      </c>
      <c r="N319" s="28">
        <f>IF(AND(ISNUMBER(SEARCH("Dinner",$C319)),$D319="Chinese"),RAND(),"")</f>
        <v/>
      </c>
      <c r="O319" s="28">
        <f>IF(AND(ISNUMBER(SEARCH("Dinner",$C319)),$D319="Western"),RAND(),"")</f>
        <v/>
      </c>
    </row>
    <row r="320" ht="15.75" customHeight="1" s="36">
      <c r="A320" s="18" t="inlineStr">
        <is>
          <t>Pistachio Pesto Salmon</t>
        </is>
      </c>
      <c r="B320" s="18" t="inlineStr">
        <is>
          <t>Basil, Pistachios, Olive Oil, Parmesan Cheese, Garlic, Lemon, Salt, Black Pepper</t>
        </is>
      </c>
      <c r="C320" s="17" t="inlineStr">
        <is>
          <t>Lunch</t>
        </is>
      </c>
      <c r="D320" s="30" t="inlineStr">
        <is>
          <t>Western</t>
        </is>
      </c>
      <c r="E320" s="17" t="inlineStr">
        <is>
          <t>High</t>
        </is>
      </c>
      <c r="F320" s="19" t="inlineStr">
        <is>
          <t>https://somethingnutritiousblog.com/pistachio-pesto-salmon-bites/</t>
        </is>
      </c>
      <c r="G320" s="27">
        <f>IF(AND(ISNUMBER(SEARCH("Breakfast",$C320)),$D320="Asian"),RAND(),"")</f>
        <v/>
      </c>
      <c r="H320" s="27">
        <f>IF(AND(ISNUMBER(SEARCH("Breakfast",$C320)),$D320="Chinese"),RAND(),"")</f>
        <v/>
      </c>
      <c r="I320" s="27">
        <f>IF(AND(ISNUMBER(SEARCH("Breakfast",$C320)),$D320="Western"),RAND(),"")</f>
        <v/>
      </c>
      <c r="J320" s="27">
        <f>IF(AND(ISNUMBER(SEARCH("Lunch",$C320)),$D320="Asian"),RAND(),"")</f>
        <v/>
      </c>
      <c r="K320" s="27">
        <f>IF(AND(ISNUMBER(SEARCH("Lunch",$C320)),$D320="Chinese"),RAND(),"")</f>
        <v/>
      </c>
      <c r="L320" s="27">
        <f>IF(AND(ISNUMBER(SEARCH("Lunch",$C320)),$D320="Western"),RAND(),"")</f>
        <v/>
      </c>
      <c r="M320" s="27">
        <f>IF(AND(ISNUMBER(SEARCH("Dinner",$C320)),$D320="Asian"),RAND(),"")</f>
        <v/>
      </c>
      <c r="N320" s="27">
        <f>IF(AND(ISNUMBER(SEARCH("Dinner",$C320)),$D320="Chinese"),RAND(),"")</f>
        <v/>
      </c>
      <c r="O320" s="27">
        <f>IF(AND(ISNUMBER(SEARCH("Dinner",$C320)),$D320="Western"),RAND(),"")</f>
        <v/>
      </c>
    </row>
    <row r="321" ht="15.75" customHeight="1" s="36">
      <c r="A321" s="22" t="inlineStr">
        <is>
          <t>Poach cod in tomato sauce</t>
        </is>
      </c>
      <c r="B321" s="22" t="inlineStr">
        <is>
          <t>Cod fish fillet, tomato, White wine, Tomato paste, Butter, Lemon</t>
        </is>
      </c>
      <c r="C321" s="21" t="inlineStr">
        <is>
          <t>Dinner</t>
        </is>
      </c>
      <c r="D321" s="30" t="inlineStr">
        <is>
          <t>Western</t>
        </is>
      </c>
      <c r="E321" s="21" t="inlineStr">
        <is>
          <t>Med</t>
        </is>
      </c>
      <c r="F321" s="22" t="n"/>
      <c r="G321" s="28">
        <f>IF(AND(ISNUMBER(SEARCH("Breakfast",$C321)),$D321="Asian"),RAND(),"")</f>
        <v/>
      </c>
      <c r="H321" s="28">
        <f>IF(AND(ISNUMBER(SEARCH("Breakfast",$C321)),$D321="Chinese"),RAND(),"")</f>
        <v/>
      </c>
      <c r="I321" s="28">
        <f>IF(AND(ISNUMBER(SEARCH("Breakfast",$C321)),$D321="Western"),RAND(),"")</f>
        <v/>
      </c>
      <c r="J321" s="28">
        <f>IF(AND(ISNUMBER(SEARCH("Lunch",$C321)),$D321="Asian"),RAND(),"")</f>
        <v/>
      </c>
      <c r="K321" s="28">
        <f>IF(AND(ISNUMBER(SEARCH("Lunch",$C321)),$D321="Chinese"),RAND(),"")</f>
        <v/>
      </c>
      <c r="L321" s="28">
        <f>IF(AND(ISNUMBER(SEARCH("Lunch",$C321)),$D321="Western"),RAND(),"")</f>
        <v/>
      </c>
      <c r="M321" s="28">
        <f>IF(AND(ISNUMBER(SEARCH("Dinner",$C321)),$D321="Asian"),RAND(),"")</f>
        <v/>
      </c>
      <c r="N321" s="28">
        <f>IF(AND(ISNUMBER(SEARCH("Dinner",$C321)),$D321="Chinese"),RAND(),"")</f>
        <v/>
      </c>
      <c r="O321" s="28">
        <f>IF(AND(ISNUMBER(SEARCH("Dinner",$C321)),$D321="Western"),RAND(),"")</f>
        <v/>
      </c>
    </row>
    <row r="322" ht="15.75" customHeight="1" s="36">
      <c r="A322" s="18" t="inlineStr">
        <is>
          <t>Popcorn Chicken</t>
        </is>
      </c>
      <c r="B322" s="18" t="inlineStr">
        <is>
          <t>Chicken Thigh, Garlic, Soya Sauce, Rice Wine, Tapioca Flour, Thai Basil, Pepper, Five Spice powder</t>
        </is>
      </c>
      <c r="C322" s="17" t="inlineStr">
        <is>
          <t>Dinner</t>
        </is>
      </c>
      <c r="D322" s="29" t="inlineStr">
        <is>
          <t>Asian</t>
        </is>
      </c>
      <c r="E322" s="17" t="inlineStr">
        <is>
          <t>Low</t>
        </is>
      </c>
      <c r="F322" s="19" t="inlineStr">
        <is>
          <t>https://www.instagram.com/reel/CZt43_CIl7e/?igshid=YmMyMTA2M2Y=</t>
        </is>
      </c>
      <c r="G322" s="27">
        <f>IF(AND(ISNUMBER(SEARCH("Breakfast",$C322)),$D322="Asian"),RAND(),"")</f>
        <v/>
      </c>
      <c r="H322" s="27">
        <f>IF(AND(ISNUMBER(SEARCH("Breakfast",$C322)),$D322="Chinese"),RAND(),"")</f>
        <v/>
      </c>
      <c r="I322" s="27">
        <f>IF(AND(ISNUMBER(SEARCH("Breakfast",$C322)),$D322="Western"),RAND(),"")</f>
        <v/>
      </c>
      <c r="J322" s="27">
        <f>IF(AND(ISNUMBER(SEARCH("Lunch",$C322)),$D322="Asian"),RAND(),"")</f>
        <v/>
      </c>
      <c r="K322" s="27">
        <f>IF(AND(ISNUMBER(SEARCH("Lunch",$C322)),$D322="Chinese"),RAND(),"")</f>
        <v/>
      </c>
      <c r="L322" s="27">
        <f>IF(AND(ISNUMBER(SEARCH("Lunch",$C322)),$D322="Western"),RAND(),"")</f>
        <v/>
      </c>
      <c r="M322" s="27">
        <f>IF(AND(ISNUMBER(SEARCH("Dinner",$C322)),$D322="Asian"),RAND(),"")</f>
        <v/>
      </c>
      <c r="N322" s="27">
        <f>IF(AND(ISNUMBER(SEARCH("Dinner",$C322)),$D322="Chinese"),RAND(),"")</f>
        <v/>
      </c>
      <c r="O322" s="27">
        <f>IF(AND(ISNUMBER(SEARCH("Dinner",$C322)),$D322="Western"),RAND(),"")</f>
        <v/>
      </c>
    </row>
    <row r="323" ht="15.75" customHeight="1" s="36">
      <c r="A323" s="22" t="inlineStr">
        <is>
          <t>Pork</t>
        </is>
      </c>
      <c r="B323" s="22" t="inlineStr">
        <is>
          <t>Spring onion</t>
        </is>
      </c>
      <c r="C323" s="21" t="inlineStr">
        <is>
          <t>Dinner</t>
        </is>
      </c>
      <c r="D323" s="33" t="inlineStr">
        <is>
          <t>Chinese</t>
        </is>
      </c>
      <c r="E323" s="21" t="inlineStr">
        <is>
          <t>Low</t>
        </is>
      </c>
      <c r="F323" s="23" t="inlineStr">
        <is>
          <t>https://www.instagram.com/tv/Cb_tMkzJgD1/?igshid=YmMyMTA2M2Y=</t>
        </is>
      </c>
      <c r="G323" s="28">
        <f>IF(AND(ISNUMBER(SEARCH("Breakfast",$C323)),$D323="Asian"),RAND(),"")</f>
        <v/>
      </c>
      <c r="H323" s="28">
        <f>IF(AND(ISNUMBER(SEARCH("Breakfast",$C323)),$D323="Chinese"),RAND(),"")</f>
        <v/>
      </c>
      <c r="I323" s="28">
        <f>IF(AND(ISNUMBER(SEARCH("Breakfast",$C323)),$D323="Western"),RAND(),"")</f>
        <v/>
      </c>
      <c r="J323" s="28">
        <f>IF(AND(ISNUMBER(SEARCH("Lunch",$C323)),$D323="Asian"),RAND(),"")</f>
        <v/>
      </c>
      <c r="K323" s="28">
        <f>IF(AND(ISNUMBER(SEARCH("Lunch",$C323)),$D323="Chinese"),RAND(),"")</f>
        <v/>
      </c>
      <c r="L323" s="28">
        <f>IF(AND(ISNUMBER(SEARCH("Lunch",$C323)),$D323="Western"),RAND(),"")</f>
        <v/>
      </c>
      <c r="M323" s="28">
        <f>IF(AND(ISNUMBER(SEARCH("Dinner",$C323)),$D323="Asian"),RAND(),"")</f>
        <v/>
      </c>
      <c r="N323" s="28">
        <f>IF(AND(ISNUMBER(SEARCH("Dinner",$C323)),$D323="Chinese"),RAND(),"")</f>
        <v/>
      </c>
      <c r="O323" s="28">
        <f>IF(AND(ISNUMBER(SEARCH("Dinner",$C323)),$D323="Western"),RAND(),"")</f>
        <v/>
      </c>
    </row>
    <row r="324" ht="15.75" customHeight="1" s="36">
      <c r="A324" s="18" t="inlineStr">
        <is>
          <t>Pork Belly</t>
        </is>
      </c>
      <c r="B324" s="18" t="inlineStr">
        <is>
          <t>Miso, Sugar, Mirin, Cooking Wine</t>
        </is>
      </c>
      <c r="C324" s="17" t="inlineStr">
        <is>
          <t>Dinner</t>
        </is>
      </c>
      <c r="D324" s="29" t="inlineStr">
        <is>
          <t>Asian</t>
        </is>
      </c>
      <c r="E324" s="17" t="inlineStr">
        <is>
          <t>High</t>
        </is>
      </c>
      <c r="F324" s="19" t="inlineStr">
        <is>
          <t>https://icook.tw/recipes/387099?utm_source=copy&amp;utm_medium=sharev3&amp;utm_campaign=recipe-share</t>
        </is>
      </c>
      <c r="G324" s="27">
        <f>IF(AND(ISNUMBER(SEARCH("Breakfast",$C324)),$D324="Asian"),RAND(),"")</f>
        <v/>
      </c>
      <c r="H324" s="27">
        <f>IF(AND(ISNUMBER(SEARCH("Breakfast",$C324)),$D324="Chinese"),RAND(),"")</f>
        <v/>
      </c>
      <c r="I324" s="27">
        <f>IF(AND(ISNUMBER(SEARCH("Breakfast",$C324)),$D324="Western"),RAND(),"")</f>
        <v/>
      </c>
      <c r="J324" s="27">
        <f>IF(AND(ISNUMBER(SEARCH("Lunch",$C324)),$D324="Asian"),RAND(),"")</f>
        <v/>
      </c>
      <c r="K324" s="27">
        <f>IF(AND(ISNUMBER(SEARCH("Lunch",$C324)),$D324="Chinese"),RAND(),"")</f>
        <v/>
      </c>
      <c r="L324" s="27">
        <f>IF(AND(ISNUMBER(SEARCH("Lunch",$C324)),$D324="Western"),RAND(),"")</f>
        <v/>
      </c>
      <c r="M324" s="27">
        <f>IF(AND(ISNUMBER(SEARCH("Dinner",$C324)),$D324="Asian"),RAND(),"")</f>
        <v/>
      </c>
      <c r="N324" s="27">
        <f>IF(AND(ISNUMBER(SEARCH("Dinner",$C324)),$D324="Chinese"),RAND(),"")</f>
        <v/>
      </c>
      <c r="O324" s="27">
        <f>IF(AND(ISNUMBER(SEARCH("Dinner",$C324)),$D324="Western"),RAND(),"")</f>
        <v/>
      </c>
    </row>
    <row r="325" ht="15.75" customHeight="1" s="36">
      <c r="A325" s="22" t="inlineStr">
        <is>
          <t>Pork Hayashi Rice</t>
        </is>
      </c>
      <c r="B325" s="22" t="inlineStr">
        <is>
          <t>Pork Shoulder, Garlic, Onion, Shimeiji Mushroom, All purpose flour, Red Wine, Chicken Stock, Unsalted Butter, Ketchup</t>
        </is>
      </c>
      <c r="C325" s="21" t="inlineStr">
        <is>
          <t>Lunch</t>
        </is>
      </c>
      <c r="D325" s="33" t="inlineStr">
        <is>
          <t>Asian</t>
        </is>
      </c>
      <c r="E325" s="21" t="inlineStr">
        <is>
          <t>Low</t>
        </is>
      </c>
      <c r="F325" s="23" t="inlineStr">
        <is>
          <t>https://www.instagram.com/reel/Cgeh_0GLbfq/?igshid=N2NmMDY0OWE%3D</t>
        </is>
      </c>
      <c r="G325" s="28">
        <f>IF(AND(ISNUMBER(SEARCH("Breakfast",$C325)),$D325="Asian"),RAND(),"")</f>
        <v/>
      </c>
      <c r="H325" s="28">
        <f>IF(AND(ISNUMBER(SEARCH("Breakfast",$C325)),$D325="Chinese"),RAND(),"")</f>
        <v/>
      </c>
      <c r="I325" s="28">
        <f>IF(AND(ISNUMBER(SEARCH("Breakfast",$C325)),$D325="Western"),RAND(),"")</f>
        <v/>
      </c>
      <c r="J325" s="28">
        <f>IF(AND(ISNUMBER(SEARCH("Lunch",$C325)),$D325="Asian"),RAND(),"")</f>
        <v/>
      </c>
      <c r="K325" s="28">
        <f>IF(AND(ISNUMBER(SEARCH("Lunch",$C325)),$D325="Chinese"),RAND(),"")</f>
        <v/>
      </c>
      <c r="L325" s="28">
        <f>IF(AND(ISNUMBER(SEARCH("Lunch",$C325)),$D325="Western"),RAND(),"")</f>
        <v/>
      </c>
      <c r="M325" s="28">
        <f>IF(AND(ISNUMBER(SEARCH("Dinner",$C325)),$D325="Asian"),RAND(),"")</f>
        <v/>
      </c>
      <c r="N325" s="28">
        <f>IF(AND(ISNUMBER(SEARCH("Dinner",$C325)),$D325="Chinese"),RAND(),"")</f>
        <v/>
      </c>
      <c r="O325" s="28">
        <f>IF(AND(ISNUMBER(SEARCH("Dinner",$C325)),$D325="Western"),RAND(),"")</f>
        <v/>
      </c>
    </row>
    <row r="326" ht="15.75" customHeight="1" s="36">
      <c r="A326" s="18" t="inlineStr">
        <is>
          <t>Pork Leek</t>
        </is>
      </c>
      <c r="B326" s="18" t="inlineStr">
        <is>
          <t>Pork slices, Japan Leek, Sesame Oil</t>
        </is>
      </c>
      <c r="C326" s="17" t="inlineStr">
        <is>
          <t>Dinner</t>
        </is>
      </c>
      <c r="D326" s="33" t="inlineStr">
        <is>
          <t>Asian</t>
        </is>
      </c>
      <c r="E326" s="17" t="inlineStr">
        <is>
          <t>Low</t>
        </is>
      </c>
      <c r="F326" s="19" t="inlineStr">
        <is>
          <t>https://www.instagram.com/reel/C8wqPZIhFAG/?igsh=bjBkNXlrZWFuemcz</t>
        </is>
      </c>
      <c r="G326" s="27">
        <f>IF(AND(ISNUMBER(SEARCH("Breakfast",$C326)),$D326="Asian"),RAND(),"")</f>
        <v/>
      </c>
      <c r="H326" s="27">
        <f>IF(AND(ISNUMBER(SEARCH("Breakfast",$C326)),$D326="Chinese"),RAND(),"")</f>
        <v/>
      </c>
      <c r="I326" s="27">
        <f>IF(AND(ISNUMBER(SEARCH("Breakfast",$C326)),$D326="Western"),RAND(),"")</f>
        <v/>
      </c>
      <c r="J326" s="27">
        <f>IF(AND(ISNUMBER(SEARCH("Lunch",$C326)),$D326="Asian"),RAND(),"")</f>
        <v/>
      </c>
      <c r="K326" s="27">
        <f>IF(AND(ISNUMBER(SEARCH("Lunch",$C326)),$D326="Chinese"),RAND(),"")</f>
        <v/>
      </c>
      <c r="L326" s="27">
        <f>IF(AND(ISNUMBER(SEARCH("Lunch",$C326)),$D326="Western"),RAND(),"")</f>
        <v/>
      </c>
      <c r="M326" s="27">
        <f>IF(AND(ISNUMBER(SEARCH("Dinner",$C326)),$D326="Asian"),RAND(),"")</f>
        <v/>
      </c>
      <c r="N326" s="27">
        <f>IF(AND(ISNUMBER(SEARCH("Dinner",$C326)),$D326="Chinese"),RAND(),"")</f>
        <v/>
      </c>
      <c r="O326" s="27">
        <f>IF(AND(ISNUMBER(SEARCH("Dinner",$C326)),$D326="Western"),RAND(),"")</f>
        <v/>
      </c>
    </row>
    <row r="327" ht="15.75" customHeight="1" s="36">
      <c r="A327" s="22" t="inlineStr">
        <is>
          <t>Pork Rib Soup</t>
        </is>
      </c>
      <c r="B327" s="22" t="inlineStr">
        <is>
          <t>Lotus Root, Carrot, Dates, Pork Ribs and Bone</t>
        </is>
      </c>
      <c r="C327" s="21" t="inlineStr">
        <is>
          <t>Dinner</t>
        </is>
      </c>
      <c r="D327" s="26" t="inlineStr">
        <is>
          <t>Chinese</t>
        </is>
      </c>
      <c r="E327" s="21" t="inlineStr">
        <is>
          <t>Med</t>
        </is>
      </c>
      <c r="F327" s="23" t="inlineStr">
        <is>
          <t>https://icook.tw/recipes/58624?utm_source=other&amp;utm_medium=sharev3&amp;utm_campaign=recipe-share</t>
        </is>
      </c>
      <c r="G327" s="28">
        <f>IF(AND(ISNUMBER(SEARCH("Breakfast",$C327)),$D327="Asian"),RAND(),"")</f>
        <v/>
      </c>
      <c r="H327" s="28">
        <f>IF(AND(ISNUMBER(SEARCH("Breakfast",$C327)),$D327="Chinese"),RAND(),"")</f>
        <v/>
      </c>
      <c r="I327" s="28">
        <f>IF(AND(ISNUMBER(SEARCH("Breakfast",$C327)),$D327="Western"),RAND(),"")</f>
        <v/>
      </c>
      <c r="J327" s="28">
        <f>IF(AND(ISNUMBER(SEARCH("Lunch",$C327)),$D327="Asian"),RAND(),"")</f>
        <v/>
      </c>
      <c r="K327" s="28">
        <f>IF(AND(ISNUMBER(SEARCH("Lunch",$C327)),$D327="Chinese"),RAND(),"")</f>
        <v/>
      </c>
      <c r="L327" s="28">
        <f>IF(AND(ISNUMBER(SEARCH("Lunch",$C327)),$D327="Western"),RAND(),"")</f>
        <v/>
      </c>
      <c r="M327" s="28">
        <f>IF(AND(ISNUMBER(SEARCH("Dinner",$C327)),$D327="Asian"),RAND(),"")</f>
        <v/>
      </c>
      <c r="N327" s="28">
        <f>IF(AND(ISNUMBER(SEARCH("Dinner",$C327)),$D327="Chinese"),RAND(),"")</f>
        <v/>
      </c>
      <c r="O327" s="28">
        <f>IF(AND(ISNUMBER(SEARCH("Dinner",$C327)),$D327="Western"),RAND(),"")</f>
        <v/>
      </c>
      <c r="P327" s="0" t="b">
        <v>1</v>
      </c>
    </row>
    <row r="328" ht="15.75" customHeight="1" s="36">
      <c r="A328" s="18" t="inlineStr">
        <is>
          <t>Pork Sukiyaki</t>
        </is>
      </c>
      <c r="B328" s="18" t="inlineStr">
        <is>
          <t>White Lettuce, Pork Slice, red peppers, Enoki mushroom, Carrots, Chicken Stock</t>
        </is>
      </c>
      <c r="C328" s="17" t="inlineStr">
        <is>
          <t>Dinner</t>
        </is>
      </c>
      <c r="D328" s="29" t="inlineStr">
        <is>
          <t>Asian</t>
        </is>
      </c>
      <c r="E328" s="17" t="inlineStr">
        <is>
          <t>Low</t>
        </is>
      </c>
      <c r="F328" s="19" t="inlineStr">
        <is>
          <t>https://www.instagram.com/reel/Cqrub8YAGkJ/?igshid=MTc4MmM1YmI2Ng==</t>
        </is>
      </c>
      <c r="G328" s="27">
        <f>IF(AND(ISNUMBER(SEARCH("Breakfast",$C328)),$D328="Asian"),RAND(),"")</f>
        <v/>
      </c>
      <c r="H328" s="27">
        <f>IF(AND(ISNUMBER(SEARCH("Breakfast",$C328)),$D328="Chinese"),RAND(),"")</f>
        <v/>
      </c>
      <c r="I328" s="27">
        <f>IF(AND(ISNUMBER(SEARCH("Breakfast",$C328)),$D328="Western"),RAND(),"")</f>
        <v/>
      </c>
      <c r="J328" s="27">
        <f>IF(AND(ISNUMBER(SEARCH("Lunch",$C328)),$D328="Asian"),RAND(),"")</f>
        <v/>
      </c>
      <c r="K328" s="27">
        <f>IF(AND(ISNUMBER(SEARCH("Lunch",$C328)),$D328="Chinese"),RAND(),"")</f>
        <v/>
      </c>
      <c r="L328" s="27">
        <f>IF(AND(ISNUMBER(SEARCH("Lunch",$C328)),$D328="Western"),RAND(),"")</f>
        <v/>
      </c>
      <c r="M328" s="27">
        <f>IF(AND(ISNUMBER(SEARCH("Dinner",$C328)),$D328="Asian"),RAND(),"")</f>
        <v/>
      </c>
      <c r="N328" s="27">
        <f>IF(AND(ISNUMBER(SEARCH("Dinner",$C328)),$D328="Chinese"),RAND(),"")</f>
        <v/>
      </c>
      <c r="O328" s="27">
        <f>IF(AND(ISNUMBER(SEARCH("Dinner",$C328)),$D328="Western"),RAND(),"")</f>
        <v/>
      </c>
    </row>
    <row r="329" ht="15.75" customHeight="1" s="36">
      <c r="A329" s="22" t="inlineStr">
        <is>
          <t>Porridge</t>
        </is>
      </c>
      <c r="B329" s="22" t="inlineStr">
        <is>
          <t>Rice, Chicken Stock, Ginger, Cilantro, Chicken Thigh, Oyster Sauce, Cornstarch, Vege Oil, Green Onion, Chickehn Thigh</t>
        </is>
      </c>
      <c r="C329" s="21" t="inlineStr">
        <is>
          <t>Lunch</t>
        </is>
      </c>
      <c r="D329" s="26" t="inlineStr">
        <is>
          <t>Chinese</t>
        </is>
      </c>
      <c r="E329" s="21" t="inlineStr">
        <is>
          <t>Med</t>
        </is>
      </c>
      <c r="F329" s="23" t="inlineStr">
        <is>
          <t>https://youtu.be/t2SahnNVULA</t>
        </is>
      </c>
      <c r="G329" s="28">
        <f>IF(AND(ISNUMBER(SEARCH("Breakfast",$C329)),$D329="Asian"),RAND(),"")</f>
        <v/>
      </c>
      <c r="H329" s="28">
        <f>IF(AND(ISNUMBER(SEARCH("Breakfast",$C329)),$D329="Chinese"),RAND(),"")</f>
        <v/>
      </c>
      <c r="I329" s="28">
        <f>IF(AND(ISNUMBER(SEARCH("Breakfast",$C329)),$D329="Western"),RAND(),"")</f>
        <v/>
      </c>
      <c r="J329" s="28">
        <f>IF(AND(ISNUMBER(SEARCH("Lunch",$C329)),$D329="Asian"),RAND(),"")</f>
        <v/>
      </c>
      <c r="K329" s="28">
        <f>IF(AND(ISNUMBER(SEARCH("Lunch",$C329)),$D329="Chinese"),RAND(),"")</f>
        <v/>
      </c>
      <c r="L329" s="28">
        <f>IF(AND(ISNUMBER(SEARCH("Lunch",$C329)),$D329="Western"),RAND(),"")</f>
        <v/>
      </c>
      <c r="M329" s="28">
        <f>IF(AND(ISNUMBER(SEARCH("Dinner",$C329)),$D329="Asian"),RAND(),"")</f>
        <v/>
      </c>
      <c r="N329" s="28">
        <f>IF(AND(ISNUMBER(SEARCH("Dinner",$C329)),$D329="Chinese"),RAND(),"")</f>
        <v/>
      </c>
      <c r="O329" s="28">
        <f>IF(AND(ISNUMBER(SEARCH("Dinner",$C329)),$D329="Western"),RAND(),"")</f>
        <v/>
      </c>
    </row>
    <row r="330" ht="15.75" customHeight="1" s="36">
      <c r="A330" s="18" t="inlineStr">
        <is>
          <t>Portobello mushroom</t>
        </is>
      </c>
      <c r="B330" s="18" t="inlineStr">
        <is>
          <t>Portobello Mushroom, Onion, Shallot, Garlic, Salmon, Spinach, Cheese</t>
        </is>
      </c>
      <c r="C330" s="17" t="inlineStr">
        <is>
          <t>Dinner</t>
        </is>
      </c>
      <c r="D330" s="33" t="inlineStr">
        <is>
          <t>Western</t>
        </is>
      </c>
      <c r="E330" s="17" t="inlineStr">
        <is>
          <t>Low</t>
        </is>
      </c>
      <c r="F330" s="19" t="inlineStr">
        <is>
          <t>https://www.instagram.com/reel/DQgFycgElF2/?igsh=d2h6ejhwam9xcTR0</t>
        </is>
      </c>
      <c r="G330" s="27">
        <f>IF(AND(ISNUMBER(SEARCH("Breakfast",$C330)),$D330="Asian"),RAND(),"")</f>
        <v/>
      </c>
      <c r="H330" s="27">
        <f>IF(AND(ISNUMBER(SEARCH("Breakfast",$C330)),$D330="Chinese"),RAND(),"")</f>
        <v/>
      </c>
      <c r="I330" s="27">
        <f>IF(AND(ISNUMBER(SEARCH("Breakfast",$C330)),$D330="Western"),RAND(),"")</f>
        <v/>
      </c>
      <c r="J330" s="27">
        <f>IF(AND(ISNUMBER(SEARCH("Lunch",$C330)),$D330="Asian"),RAND(),"")</f>
        <v/>
      </c>
      <c r="K330" s="27">
        <f>IF(AND(ISNUMBER(SEARCH("Lunch",$C330)),$D330="Chinese"),RAND(),"")</f>
        <v/>
      </c>
      <c r="L330" s="27">
        <f>IF(AND(ISNUMBER(SEARCH("Lunch",$C330)),$D330="Western"),RAND(),"")</f>
        <v/>
      </c>
      <c r="M330" s="27">
        <f>IF(AND(ISNUMBER(SEARCH("Dinner",$C330)),$D330="Asian"),RAND(),"")</f>
        <v/>
      </c>
      <c r="N330" s="27">
        <f>IF(AND(ISNUMBER(SEARCH("Dinner",$C330)),$D330="Chinese"),RAND(),"")</f>
        <v/>
      </c>
      <c r="O330" s="27">
        <f>IF(AND(ISNUMBER(SEARCH("Dinner",$C330)),$D330="Western"),RAND(),"")</f>
        <v/>
      </c>
    </row>
    <row r="331" ht="15.75" customHeight="1" s="36">
      <c r="A331" s="22" t="inlineStr">
        <is>
          <t>Pot Au Feu</t>
        </is>
      </c>
      <c r="B331" s="22" t="inlineStr">
        <is>
          <t>Beef heel muscle, onion, potato, white radish, celery, carrots, cabbage, parsley, Thyme, Bay leaves, Dijon Mustard</t>
        </is>
      </c>
      <c r="C331" s="21" t="inlineStr">
        <is>
          <t>Dinner</t>
        </is>
      </c>
      <c r="D331" s="33" t="inlineStr">
        <is>
          <t>Asian</t>
        </is>
      </c>
      <c r="E331" s="21" t="inlineStr">
        <is>
          <t>Low</t>
        </is>
      </c>
      <c r="F331" s="23" t="inlineStr">
        <is>
          <t>https://youtu.be/mntTdQjpvs0</t>
        </is>
      </c>
      <c r="G331" s="28">
        <f>IF(AND(ISNUMBER(SEARCH("Breakfast",$C331)),$D331="Asian"),RAND(),"")</f>
        <v/>
      </c>
      <c r="H331" s="28">
        <f>IF(AND(ISNUMBER(SEARCH("Breakfast",$C331)),$D331="Chinese"),RAND(),"")</f>
        <v/>
      </c>
      <c r="I331" s="28">
        <f>IF(AND(ISNUMBER(SEARCH("Breakfast",$C331)),$D331="Western"),RAND(),"")</f>
        <v/>
      </c>
      <c r="J331" s="28">
        <f>IF(AND(ISNUMBER(SEARCH("Lunch",$C331)),$D331="Asian"),RAND(),"")</f>
        <v/>
      </c>
      <c r="K331" s="28">
        <f>IF(AND(ISNUMBER(SEARCH("Lunch",$C331)),$D331="Chinese"),RAND(),"")</f>
        <v/>
      </c>
      <c r="L331" s="28">
        <f>IF(AND(ISNUMBER(SEARCH("Lunch",$C331)),$D331="Western"),RAND(),"")</f>
        <v/>
      </c>
      <c r="M331" s="28">
        <f>IF(AND(ISNUMBER(SEARCH("Dinner",$C331)),$D331="Asian"),RAND(),"")</f>
        <v/>
      </c>
      <c r="N331" s="28">
        <f>IF(AND(ISNUMBER(SEARCH("Dinner",$C331)),$D331="Chinese"),RAND(),"")</f>
        <v/>
      </c>
      <c r="O331" s="28">
        <f>IF(AND(ISNUMBER(SEARCH("Dinner",$C331)),$D331="Western"),RAND(),"")</f>
        <v/>
      </c>
    </row>
    <row r="332" ht="15.75" customHeight="1" s="36">
      <c r="A332" s="18" t="inlineStr">
        <is>
          <t>Potato</t>
        </is>
      </c>
      <c r="B332" s="18" t="inlineStr">
        <is>
          <t>Carrot, Small cucumber, Eggs, Mayonaise, Crab meat, Garlic, Lemon, Chilli</t>
        </is>
      </c>
      <c r="C332" s="17" t="inlineStr">
        <is>
          <t>Dinner</t>
        </is>
      </c>
      <c r="D332" s="33" t="inlineStr">
        <is>
          <t>Western</t>
        </is>
      </c>
      <c r="E332" s="17" t="inlineStr">
        <is>
          <t>Low</t>
        </is>
      </c>
      <c r="F332" s="19" t="inlineStr">
        <is>
          <t>https://youtu.be/16--D1uTXiY</t>
        </is>
      </c>
      <c r="G332" s="27">
        <f>IF(AND(ISNUMBER(SEARCH("Breakfast",$C332)),$D332="Asian"),RAND(),"")</f>
        <v/>
      </c>
      <c r="H332" s="27">
        <f>IF(AND(ISNUMBER(SEARCH("Breakfast",$C332)),$D332="Chinese"),RAND(),"")</f>
        <v/>
      </c>
      <c r="I332" s="27">
        <f>IF(AND(ISNUMBER(SEARCH("Breakfast",$C332)),$D332="Western"),RAND(),"")</f>
        <v/>
      </c>
      <c r="J332" s="27">
        <f>IF(AND(ISNUMBER(SEARCH("Lunch",$C332)),$D332="Asian"),RAND(),"")</f>
        <v/>
      </c>
      <c r="K332" s="27">
        <f>IF(AND(ISNUMBER(SEARCH("Lunch",$C332)),$D332="Chinese"),RAND(),"")</f>
        <v/>
      </c>
      <c r="L332" s="27">
        <f>IF(AND(ISNUMBER(SEARCH("Lunch",$C332)),$D332="Western"),RAND(),"")</f>
        <v/>
      </c>
      <c r="M332" s="27">
        <f>IF(AND(ISNUMBER(SEARCH("Dinner",$C332)),$D332="Asian"),RAND(),"")</f>
        <v/>
      </c>
      <c r="N332" s="27">
        <f>IF(AND(ISNUMBER(SEARCH("Dinner",$C332)),$D332="Chinese"),RAND(),"")</f>
        <v/>
      </c>
      <c r="O332" s="27">
        <f>IF(AND(ISNUMBER(SEARCH("Dinner",$C332)),$D332="Western"),RAND(),"")</f>
        <v/>
      </c>
    </row>
    <row r="333" ht="15.75" customHeight="1" s="36">
      <c r="A333" s="22" t="inlineStr">
        <is>
          <t>Potato Gratin</t>
        </is>
      </c>
      <c r="B333" s="22" t="inlineStr">
        <is>
          <t>Potato, Cheese, Unsalted Butter, Garlic, Whipping Cream, Milk</t>
        </is>
      </c>
      <c r="C333" s="21" t="inlineStr">
        <is>
          <t>Lunch</t>
        </is>
      </c>
      <c r="D333" s="30" t="inlineStr">
        <is>
          <t>Western</t>
        </is>
      </c>
      <c r="E333" s="21" t="inlineStr">
        <is>
          <t>High</t>
        </is>
      </c>
      <c r="F333" s="23" t="inlineStr">
        <is>
          <t>https://www.instagram.com/tv/CYOqlz9oQpK/?igsh=dm85dnFnZHp4cnh1</t>
        </is>
      </c>
      <c r="G333" s="28">
        <f>IF(AND(ISNUMBER(SEARCH("Breakfast",$C333)),$D333="Asian"),RAND(),"")</f>
        <v/>
      </c>
      <c r="H333" s="28">
        <f>IF(AND(ISNUMBER(SEARCH("Breakfast",$C333)),$D333="Chinese"),RAND(),"")</f>
        <v/>
      </c>
      <c r="I333" s="28">
        <f>IF(AND(ISNUMBER(SEARCH("Breakfast",$C333)),$D333="Western"),RAND(),"")</f>
        <v/>
      </c>
      <c r="J333" s="28">
        <f>IF(AND(ISNUMBER(SEARCH("Lunch",$C333)),$D333="Asian"),RAND(),"")</f>
        <v/>
      </c>
      <c r="K333" s="28">
        <f>IF(AND(ISNUMBER(SEARCH("Lunch",$C333)),$D333="Chinese"),RAND(),"")</f>
        <v/>
      </c>
      <c r="L333" s="28">
        <f>IF(AND(ISNUMBER(SEARCH("Lunch",$C333)),$D333="Western"),RAND(),"")</f>
        <v/>
      </c>
      <c r="M333" s="28">
        <f>IF(AND(ISNUMBER(SEARCH("Dinner",$C333)),$D333="Asian"),RAND(),"")</f>
        <v/>
      </c>
      <c r="N333" s="28">
        <f>IF(AND(ISNUMBER(SEARCH("Dinner",$C333)),$D333="Chinese"),RAND(),"")</f>
        <v/>
      </c>
      <c r="O333" s="28">
        <f>IF(AND(ISNUMBER(SEARCH("Dinner",$C333)),$D333="Western"),RAND(),"")</f>
        <v/>
      </c>
    </row>
    <row r="334" ht="15.75" customHeight="1" s="36">
      <c r="A334" s="22" t="inlineStr">
        <is>
          <t>Potato Minced Meat</t>
        </is>
      </c>
      <c r="B334" s="22" t="inlineStr">
        <is>
          <t>Minced Beef, Soy Sauce, Sesame Oil, Corn Starch, White Pepper, Garlic, Curry Leaves, Potatos, Oyster Sauce</t>
        </is>
      </c>
      <c r="C334" s="21" t="inlineStr">
        <is>
          <t>Dinner</t>
        </is>
      </c>
      <c r="D334" s="29" t="inlineStr">
        <is>
          <t>Asian</t>
        </is>
      </c>
      <c r="E334" s="21" t="inlineStr">
        <is>
          <t>Low</t>
        </is>
      </c>
      <c r="F334" s="23" t="inlineStr">
        <is>
          <t>https://www.instagram.com/reel/DOaEZ42ESnA/?igsh=eHVjYjNheXBsMWQx</t>
        </is>
      </c>
      <c r="G334" s="28">
        <f>IF(AND(ISNUMBER(SEARCH("Breakfast",$C334)),$D334="Asian"),RAND(),"")</f>
        <v/>
      </c>
      <c r="H334" s="28">
        <f>IF(AND(ISNUMBER(SEARCH("Breakfast",$C334)),$D334="Chinese"),RAND(),"")</f>
        <v/>
      </c>
      <c r="I334" s="28">
        <f>IF(AND(ISNUMBER(SEARCH("Breakfast",$C334)),$D334="Western"),RAND(),"")</f>
        <v/>
      </c>
      <c r="J334" s="28">
        <f>IF(AND(ISNUMBER(SEARCH("Lunch",$C334)),$D334="Asian"),RAND(),"")</f>
        <v/>
      </c>
      <c r="K334" s="28">
        <f>IF(AND(ISNUMBER(SEARCH("Lunch",$C334)),$D334="Chinese"),RAND(),"")</f>
        <v/>
      </c>
      <c r="L334" s="28">
        <f>IF(AND(ISNUMBER(SEARCH("Lunch",$C334)),$D334="Western"),RAND(),"")</f>
        <v/>
      </c>
      <c r="M334" s="28">
        <f>IF(AND(ISNUMBER(SEARCH("Dinner",$C334)),$D334="Asian"),RAND(),"")</f>
        <v/>
      </c>
      <c r="N334" s="28">
        <f>IF(AND(ISNUMBER(SEARCH("Dinner",$C334)),$D334="Chinese"),RAND(),"")</f>
        <v/>
      </c>
      <c r="O334" s="28">
        <f>IF(AND(ISNUMBER(SEARCH("Dinner",$C334)),$D334="Western"),RAND(),"")</f>
        <v/>
      </c>
    </row>
    <row r="335" ht="15.75" customHeight="1" s="36">
      <c r="A335" s="18" t="inlineStr">
        <is>
          <t>Potato Salad</t>
        </is>
      </c>
      <c r="B335" s="18" t="inlineStr">
        <is>
          <t>Potato, Carrot, Small cucumber, Eggs, Mayonaise, Crab meat</t>
        </is>
      </c>
      <c r="C335" s="17" t="inlineStr">
        <is>
          <t>Lunch</t>
        </is>
      </c>
      <c r="D335" s="30" t="inlineStr">
        <is>
          <t>Western</t>
        </is>
      </c>
      <c r="E335" s="17" t="inlineStr">
        <is>
          <t>High</t>
        </is>
      </c>
      <c r="F335" s="19" t="inlineStr">
        <is>
          <t>https://youtu.be/16--D1uTXiY</t>
        </is>
      </c>
      <c r="G335" s="27">
        <f>IF(AND(ISNUMBER(SEARCH("Breakfast",$C335)),$D335="Asian"),RAND(),"")</f>
        <v/>
      </c>
      <c r="H335" s="27">
        <f>IF(AND(ISNUMBER(SEARCH("Breakfast",$C335)),$D335="Chinese"),RAND(),"")</f>
        <v/>
      </c>
      <c r="I335" s="27">
        <f>IF(AND(ISNUMBER(SEARCH("Breakfast",$C335)),$D335="Western"),RAND(),"")</f>
        <v/>
      </c>
      <c r="J335" s="27">
        <f>IF(AND(ISNUMBER(SEARCH("Lunch",$C335)),$D335="Asian"),RAND(),"")</f>
        <v/>
      </c>
      <c r="K335" s="27">
        <f>IF(AND(ISNUMBER(SEARCH("Lunch",$C335)),$D335="Chinese"),RAND(),"")</f>
        <v/>
      </c>
      <c r="L335" s="27">
        <f>IF(AND(ISNUMBER(SEARCH("Lunch",$C335)),$D335="Western"),RAND(),"")</f>
        <v/>
      </c>
      <c r="M335" s="27">
        <f>IF(AND(ISNUMBER(SEARCH("Dinner",$C335)),$D335="Asian"),RAND(),"")</f>
        <v/>
      </c>
      <c r="N335" s="27">
        <f>IF(AND(ISNUMBER(SEARCH("Dinner",$C335)),$D335="Chinese"),RAND(),"")</f>
        <v/>
      </c>
      <c r="O335" s="27">
        <f>IF(AND(ISNUMBER(SEARCH("Dinner",$C335)),$D335="Western"),RAND(),"")</f>
        <v/>
      </c>
    </row>
    <row r="336" ht="15.75" customHeight="1" s="36">
      <c r="A336" s="22" t="inlineStr">
        <is>
          <t>Potato Skillet with Chorizo</t>
        </is>
      </c>
      <c r="B336" s="22" t="inlineStr">
        <is>
          <t>Potatoes, Parsley, White Wine Vinegar, Eggs, Leek, Chorizo, Cumin Seed</t>
        </is>
      </c>
      <c r="C336" s="21" t="inlineStr">
        <is>
          <t>Dinner</t>
        </is>
      </c>
      <c r="D336" s="33" t="inlineStr">
        <is>
          <t>Western</t>
        </is>
      </c>
      <c r="E336" s="21" t="inlineStr">
        <is>
          <t>Low</t>
        </is>
      </c>
      <c r="F336" s="23" t="inlineStr">
        <is>
          <t>https://www.kitchenstories.com/en/recipes/potato-skillet-with-chorizo-and-feta</t>
        </is>
      </c>
      <c r="G336" s="28">
        <f>IF(AND(ISNUMBER(SEARCH("Breakfast",$C336)),$D336="Asian"),RAND(),"")</f>
        <v/>
      </c>
      <c r="H336" s="28">
        <f>IF(AND(ISNUMBER(SEARCH("Breakfast",$C336)),$D336="Chinese"),RAND(),"")</f>
        <v/>
      </c>
      <c r="I336" s="28">
        <f>IF(AND(ISNUMBER(SEARCH("Breakfast",$C336)),$D336="Western"),RAND(),"")</f>
        <v/>
      </c>
      <c r="J336" s="28">
        <f>IF(AND(ISNUMBER(SEARCH("Lunch",$C336)),$D336="Asian"),RAND(),"")</f>
        <v/>
      </c>
      <c r="K336" s="28">
        <f>IF(AND(ISNUMBER(SEARCH("Lunch",$C336)),$D336="Chinese"),RAND(),"")</f>
        <v/>
      </c>
      <c r="L336" s="28">
        <f>IF(AND(ISNUMBER(SEARCH("Lunch",$C336)),$D336="Western"),RAND(),"")</f>
        <v/>
      </c>
      <c r="M336" s="28">
        <f>IF(AND(ISNUMBER(SEARCH("Dinner",$C336)),$D336="Asian"),RAND(),"")</f>
        <v/>
      </c>
      <c r="N336" s="28">
        <f>IF(AND(ISNUMBER(SEARCH("Dinner",$C336)),$D336="Chinese"),RAND(),"")</f>
        <v/>
      </c>
      <c r="O336" s="28">
        <f>IF(AND(ISNUMBER(SEARCH("Dinner",$C336)),$D336="Western"),RAND(),"")</f>
        <v/>
      </c>
    </row>
    <row r="337" ht="15.75" customHeight="1" s="36">
      <c r="A337" s="18" t="inlineStr">
        <is>
          <t>Potato steamed Eggs</t>
        </is>
      </c>
      <c r="B337" s="18" t="inlineStr">
        <is>
          <t>Potato, Minced Meat, Eggs, Milk, Cheese, Black Pepper, Oregano</t>
        </is>
      </c>
      <c r="C337" s="17" t="inlineStr">
        <is>
          <t>Lunch</t>
        </is>
      </c>
      <c r="D337" s="26" t="inlineStr">
        <is>
          <t>Chinese</t>
        </is>
      </c>
      <c r="E337" s="17" t="inlineStr">
        <is>
          <t>Med</t>
        </is>
      </c>
      <c r="F337" s="19" t="inlineStr">
        <is>
          <t>https://www.instagram.com/reel/C_vPJLmyrQP/?igsh=bDJhZmNja3lxYXV3</t>
        </is>
      </c>
      <c r="G337" s="27">
        <f>IF(AND(ISNUMBER(SEARCH("Breakfast",$C337)),$D337="Asian"),RAND(),"")</f>
        <v/>
      </c>
      <c r="H337" s="27">
        <f>IF(AND(ISNUMBER(SEARCH("Breakfast",$C337)),$D337="Chinese"),RAND(),"")</f>
        <v/>
      </c>
      <c r="I337" s="27">
        <f>IF(AND(ISNUMBER(SEARCH("Breakfast",$C337)),$D337="Western"),RAND(),"")</f>
        <v/>
      </c>
      <c r="J337" s="27">
        <f>IF(AND(ISNUMBER(SEARCH("Lunch",$C337)),$D337="Asian"),RAND(),"")</f>
        <v/>
      </c>
      <c r="K337" s="27">
        <f>IF(AND(ISNUMBER(SEARCH("Lunch",$C337)),$D337="Chinese"),RAND(),"")</f>
        <v/>
      </c>
      <c r="L337" s="27">
        <f>IF(AND(ISNUMBER(SEARCH("Lunch",$C337)),$D337="Western"),RAND(),"")</f>
        <v/>
      </c>
      <c r="M337" s="27">
        <f>IF(AND(ISNUMBER(SEARCH("Dinner",$C337)),$D337="Asian"),RAND(),"")</f>
        <v/>
      </c>
      <c r="N337" s="27">
        <f>IF(AND(ISNUMBER(SEARCH("Dinner",$C337)),$D337="Chinese"),RAND(),"")</f>
        <v/>
      </c>
      <c r="O337" s="27">
        <f>IF(AND(ISNUMBER(SEARCH("Dinner",$C337)),$D337="Western"),RAND(),"")</f>
        <v/>
      </c>
    </row>
    <row r="338" ht="15.75" customHeight="1" s="36">
      <c r="A338" s="22" t="inlineStr">
        <is>
          <t>Prawn Noodle</t>
        </is>
      </c>
      <c r="B338" s="22" t="inlineStr">
        <is>
          <t>Prawns, Frozen Soup, Vermicelli, Squid</t>
        </is>
      </c>
      <c r="C338" s="21" t="inlineStr">
        <is>
          <t>Lunch</t>
        </is>
      </c>
      <c r="D338" s="33" t="inlineStr">
        <is>
          <t>Chinese</t>
        </is>
      </c>
      <c r="E338" s="21" t="inlineStr">
        <is>
          <t>Low</t>
        </is>
      </c>
      <c r="F338" s="22" t="n"/>
      <c r="G338" s="28">
        <f>IF(AND(ISNUMBER(SEARCH("Breakfast",$C338)),$D338="Asian"),RAND(),"")</f>
        <v/>
      </c>
      <c r="H338" s="28">
        <f>IF(AND(ISNUMBER(SEARCH("Breakfast",$C338)),$D338="Chinese"),RAND(),"")</f>
        <v/>
      </c>
      <c r="I338" s="28">
        <f>IF(AND(ISNUMBER(SEARCH("Breakfast",$C338)),$D338="Western"),RAND(),"")</f>
        <v/>
      </c>
      <c r="J338" s="28">
        <f>IF(AND(ISNUMBER(SEARCH("Lunch",$C338)),$D338="Asian"),RAND(),"")</f>
        <v/>
      </c>
      <c r="K338" s="28">
        <f>IF(AND(ISNUMBER(SEARCH("Lunch",$C338)),$D338="Chinese"),RAND(),"")</f>
        <v/>
      </c>
      <c r="L338" s="28">
        <f>IF(AND(ISNUMBER(SEARCH("Lunch",$C338)),$D338="Western"),RAND(),"")</f>
        <v/>
      </c>
      <c r="M338" s="28">
        <f>IF(AND(ISNUMBER(SEARCH("Dinner",$C338)),$D338="Asian"),RAND(),"")</f>
        <v/>
      </c>
      <c r="N338" s="28">
        <f>IF(AND(ISNUMBER(SEARCH("Dinner",$C338)),$D338="Chinese"),RAND(),"")</f>
        <v/>
      </c>
      <c r="O338" s="28">
        <f>IF(AND(ISNUMBER(SEARCH("Dinner",$C338)),$D338="Western"),RAND(),"")</f>
        <v/>
      </c>
    </row>
    <row r="339" ht="15.75" customHeight="1" s="36">
      <c r="A339" s="18" t="inlineStr">
        <is>
          <t>Prawn Noodles</t>
        </is>
      </c>
      <c r="B339" s="18" t="inlineStr">
        <is>
          <t>Prawn Soup, Noodles, Prawns</t>
        </is>
      </c>
      <c r="C339" s="17" t="inlineStr">
        <is>
          <t>Lunch</t>
        </is>
      </c>
      <c r="D339" s="33" t="inlineStr">
        <is>
          <t>Chinese</t>
        </is>
      </c>
      <c r="E339" s="17" t="inlineStr">
        <is>
          <t>Low</t>
        </is>
      </c>
      <c r="F339" s="18" t="n"/>
      <c r="G339" s="27">
        <f>IF(AND(ISNUMBER(SEARCH("Breakfast",$C339)),$D339="Asian"),RAND(),"")</f>
        <v/>
      </c>
      <c r="H339" s="27">
        <f>IF(AND(ISNUMBER(SEARCH("Breakfast",$C339)),$D339="Chinese"),RAND(),"")</f>
        <v/>
      </c>
      <c r="I339" s="27">
        <f>IF(AND(ISNUMBER(SEARCH("Breakfast",$C339)),$D339="Western"),RAND(),"")</f>
        <v/>
      </c>
      <c r="J339" s="27">
        <f>IF(AND(ISNUMBER(SEARCH("Lunch",$C339)),$D339="Asian"),RAND(),"")</f>
        <v/>
      </c>
      <c r="K339" s="27">
        <f>IF(AND(ISNUMBER(SEARCH("Lunch",$C339)),$D339="Chinese"),RAND(),"")</f>
        <v/>
      </c>
      <c r="L339" s="27">
        <f>IF(AND(ISNUMBER(SEARCH("Lunch",$C339)),$D339="Western"),RAND(),"")</f>
        <v/>
      </c>
      <c r="M339" s="27">
        <f>IF(AND(ISNUMBER(SEARCH("Dinner",$C339)),$D339="Asian"),RAND(),"")</f>
        <v/>
      </c>
      <c r="N339" s="27">
        <f>IF(AND(ISNUMBER(SEARCH("Dinner",$C339)),$D339="Chinese"),RAND(),"")</f>
        <v/>
      </c>
      <c r="O339" s="27">
        <f>IF(AND(ISNUMBER(SEARCH("Dinner",$C339)),$D339="Western"),RAND(),"")</f>
        <v/>
      </c>
    </row>
    <row r="340" ht="15.75" customHeight="1" s="36">
      <c r="A340" s="22" t="inlineStr">
        <is>
          <t>Prawn Soup</t>
        </is>
      </c>
      <c r="B340" s="22" t="inlineStr">
        <is>
          <t>Pork Ribs, Noodles, Large Prawns</t>
        </is>
      </c>
      <c r="C340" s="21" t="inlineStr">
        <is>
          <t>Lunch</t>
        </is>
      </c>
      <c r="D340" s="33" t="inlineStr">
        <is>
          <t>Chinese</t>
        </is>
      </c>
      <c r="E340" s="21" t="inlineStr">
        <is>
          <t>Low</t>
        </is>
      </c>
      <c r="F340" s="23" t="inlineStr">
        <is>
          <t>https://www.chucollagen.com/blogs/recipes/ultimate-prawn-mee-soup-recipe</t>
        </is>
      </c>
      <c r="G340" s="28">
        <f>IF(AND(ISNUMBER(SEARCH("Breakfast",$C340)),$D340="Asian"),RAND(),"")</f>
        <v/>
      </c>
      <c r="H340" s="28">
        <f>IF(AND(ISNUMBER(SEARCH("Breakfast",$C340)),$D340="Chinese"),RAND(),"")</f>
        <v/>
      </c>
      <c r="I340" s="28">
        <f>IF(AND(ISNUMBER(SEARCH("Breakfast",$C340)),$D340="Western"),RAND(),"")</f>
        <v/>
      </c>
      <c r="J340" s="28">
        <f>IF(AND(ISNUMBER(SEARCH("Lunch",$C340)),$D340="Asian"),RAND(),"")</f>
        <v/>
      </c>
      <c r="K340" s="28">
        <f>IF(AND(ISNUMBER(SEARCH("Lunch",$C340)),$D340="Chinese"),RAND(),"")</f>
        <v/>
      </c>
      <c r="L340" s="28">
        <f>IF(AND(ISNUMBER(SEARCH("Lunch",$C340)),$D340="Western"),RAND(),"")</f>
        <v/>
      </c>
      <c r="M340" s="28">
        <f>IF(AND(ISNUMBER(SEARCH("Dinner",$C340)),$D340="Asian"),RAND(),"")</f>
        <v/>
      </c>
      <c r="N340" s="28">
        <f>IF(AND(ISNUMBER(SEARCH("Dinner",$C340)),$D340="Chinese"),RAND(),"")</f>
        <v/>
      </c>
      <c r="O340" s="28">
        <f>IF(AND(ISNUMBER(SEARCH("Dinner",$C340)),$D340="Western"),RAND(),"")</f>
        <v/>
      </c>
      <c r="P340" s="0" t="b">
        <v>1</v>
      </c>
    </row>
    <row r="341" ht="15.75" customHeight="1" s="36">
      <c r="A341" s="18" t="inlineStr">
        <is>
          <t>Pulled chicken stuffed avocado</t>
        </is>
      </c>
      <c r="B341" s="18" t="inlineStr">
        <is>
          <t>Chicken breast, Avocado, Paprika powder, Chilli, Coconut milk, Lime, Parlsey, Chicken stock</t>
        </is>
      </c>
      <c r="C341" s="17" t="inlineStr">
        <is>
          <t>Dinner</t>
        </is>
      </c>
      <c r="D341" s="33" t="inlineStr">
        <is>
          <t>Western</t>
        </is>
      </c>
      <c r="E341" s="17" t="inlineStr">
        <is>
          <t>Low</t>
        </is>
      </c>
      <c r="F341" s="18" t="n"/>
      <c r="G341" s="27">
        <f>IF(AND(ISNUMBER(SEARCH("Breakfast",$C341)),$D341="Asian"),RAND(),"")</f>
        <v/>
      </c>
      <c r="H341" s="27">
        <f>IF(AND(ISNUMBER(SEARCH("Breakfast",$C341)),$D341="Chinese"),RAND(),"")</f>
        <v/>
      </c>
      <c r="I341" s="27">
        <f>IF(AND(ISNUMBER(SEARCH("Breakfast",$C341)),$D341="Western"),RAND(),"")</f>
        <v/>
      </c>
      <c r="J341" s="27">
        <f>IF(AND(ISNUMBER(SEARCH("Lunch",$C341)),$D341="Asian"),RAND(),"")</f>
        <v/>
      </c>
      <c r="K341" s="27">
        <f>IF(AND(ISNUMBER(SEARCH("Lunch",$C341)),$D341="Chinese"),RAND(),"")</f>
        <v/>
      </c>
      <c r="L341" s="27">
        <f>IF(AND(ISNUMBER(SEARCH("Lunch",$C341)),$D341="Western"),RAND(),"")</f>
        <v/>
      </c>
      <c r="M341" s="27">
        <f>IF(AND(ISNUMBER(SEARCH("Dinner",$C341)),$D341="Asian"),RAND(),"")</f>
        <v/>
      </c>
      <c r="N341" s="27">
        <f>IF(AND(ISNUMBER(SEARCH("Dinner",$C341)),$D341="Chinese"),RAND(),"")</f>
        <v/>
      </c>
      <c r="O341" s="27">
        <f>IF(AND(ISNUMBER(SEARCH("Dinner",$C341)),$D341="Western"),RAND(),"")</f>
        <v/>
      </c>
    </row>
    <row r="342" ht="15.75" customHeight="1" s="36">
      <c r="A342" s="22" t="inlineStr">
        <is>
          <t>Pumpkin</t>
        </is>
      </c>
      <c r="B342" s="22" t="inlineStr">
        <is>
          <t>Sesame seed, Soya sauce, Sake, Mirin, Sugar, Fish Stock</t>
        </is>
      </c>
      <c r="C342" s="21" t="inlineStr">
        <is>
          <t>Dinner</t>
        </is>
      </c>
      <c r="D342" s="29" t="inlineStr">
        <is>
          <t>Asian</t>
        </is>
      </c>
      <c r="E342" s="21" t="inlineStr">
        <is>
          <t>High</t>
        </is>
      </c>
      <c r="F342" s="23" t="inlineStr">
        <is>
          <t>https://icook.tw/recipes/343046?utm_source=copy&amp;utm_medium=sharev3&amp;utm_campaign=recipe-share</t>
        </is>
      </c>
      <c r="G342" s="28">
        <f>IF(AND(ISNUMBER(SEARCH("Breakfast",$C342)),$D342="Asian"),RAND(),"")</f>
        <v/>
      </c>
      <c r="H342" s="28">
        <f>IF(AND(ISNUMBER(SEARCH("Breakfast",$C342)),$D342="Chinese"),RAND(),"")</f>
        <v/>
      </c>
      <c r="I342" s="28">
        <f>IF(AND(ISNUMBER(SEARCH("Breakfast",$C342)),$D342="Western"),RAND(),"")</f>
        <v/>
      </c>
      <c r="J342" s="28">
        <f>IF(AND(ISNUMBER(SEARCH("Lunch",$C342)),$D342="Asian"),RAND(),"")</f>
        <v/>
      </c>
      <c r="K342" s="28">
        <f>IF(AND(ISNUMBER(SEARCH("Lunch",$C342)),$D342="Chinese"),RAND(),"")</f>
        <v/>
      </c>
      <c r="L342" s="28">
        <f>IF(AND(ISNUMBER(SEARCH("Lunch",$C342)),$D342="Western"),RAND(),"")</f>
        <v/>
      </c>
      <c r="M342" s="28">
        <f>IF(AND(ISNUMBER(SEARCH("Dinner",$C342)),$D342="Asian"),RAND(),"")</f>
        <v/>
      </c>
      <c r="N342" s="28">
        <f>IF(AND(ISNUMBER(SEARCH("Dinner",$C342)),$D342="Chinese"),RAND(),"")</f>
        <v/>
      </c>
      <c r="O342" s="28">
        <f>IF(AND(ISNUMBER(SEARCH("Dinner",$C342)),$D342="Western"),RAND(),"")</f>
        <v/>
      </c>
    </row>
    <row r="343" ht="15.75" customHeight="1" s="36">
      <c r="A343" s="18" t="inlineStr">
        <is>
          <t>Pumpkin meat</t>
        </is>
      </c>
      <c r="B343" s="18" t="inlineStr">
        <is>
          <t>Minced pork, Pumpkin, Miso, Onion, Garlic</t>
        </is>
      </c>
      <c r="C343" s="17" t="inlineStr">
        <is>
          <t>Dinner</t>
        </is>
      </c>
      <c r="D343" s="29" t="inlineStr">
        <is>
          <t>Asian</t>
        </is>
      </c>
      <c r="E343" s="17" t="inlineStr">
        <is>
          <t>Med</t>
        </is>
      </c>
      <c r="F343" s="19" t="inlineStr">
        <is>
          <t>https://icook.tw/recipes/351266?utm_source=copy&amp;utm_medium=sharev3&amp;utm_campaign=recipe-share</t>
        </is>
      </c>
      <c r="G343" s="27">
        <f>IF(AND(ISNUMBER(SEARCH("Breakfast",$C343)),$D343="Asian"),RAND(),"")</f>
        <v/>
      </c>
      <c r="H343" s="27">
        <f>IF(AND(ISNUMBER(SEARCH("Breakfast",$C343)),$D343="Chinese"),RAND(),"")</f>
        <v/>
      </c>
      <c r="I343" s="27">
        <f>IF(AND(ISNUMBER(SEARCH("Breakfast",$C343)),$D343="Western"),RAND(),"")</f>
        <v/>
      </c>
      <c r="J343" s="27">
        <f>IF(AND(ISNUMBER(SEARCH("Lunch",$C343)),$D343="Asian"),RAND(),"")</f>
        <v/>
      </c>
      <c r="K343" s="27">
        <f>IF(AND(ISNUMBER(SEARCH("Lunch",$C343)),$D343="Chinese"),RAND(),"")</f>
        <v/>
      </c>
      <c r="L343" s="27">
        <f>IF(AND(ISNUMBER(SEARCH("Lunch",$C343)),$D343="Western"),RAND(),"")</f>
        <v/>
      </c>
      <c r="M343" s="27">
        <f>IF(AND(ISNUMBER(SEARCH("Dinner",$C343)),$D343="Asian"),RAND(),"")</f>
        <v/>
      </c>
      <c r="N343" s="27">
        <f>IF(AND(ISNUMBER(SEARCH("Dinner",$C343)),$D343="Chinese"),RAND(),"")</f>
        <v/>
      </c>
      <c r="O343" s="27">
        <f>IF(AND(ISNUMBER(SEARCH("Dinner",$C343)),$D343="Western"),RAND(),"")</f>
        <v/>
      </c>
    </row>
    <row r="344" ht="15.75" customHeight="1" s="36">
      <c r="A344" s="22" t="inlineStr">
        <is>
          <t>Pumpkin Pancake</t>
        </is>
      </c>
      <c r="B344" s="22" t="inlineStr">
        <is>
          <t>Spring Onion Pancake, Pumpkin, Cheese, Salt, Pepper, Olive Oil</t>
        </is>
      </c>
      <c r="C344" s="21" t="inlineStr">
        <is>
          <t>Dinner</t>
        </is>
      </c>
      <c r="D344" s="30" t="inlineStr">
        <is>
          <t>Western</t>
        </is>
      </c>
      <c r="E344" s="21" t="inlineStr">
        <is>
          <t>High</t>
        </is>
      </c>
      <c r="F344" s="23" t="inlineStr">
        <is>
          <t>https://www.instagram.com/reel/DQGVClDCRQv/?utm_source=ig_web_button_share_sheet</t>
        </is>
      </c>
      <c r="G344" s="28">
        <f>IF(AND(ISNUMBER(SEARCH("Breakfast",$C344)),$D344="Asian"),RAND(),"")</f>
        <v/>
      </c>
      <c r="H344" s="28">
        <f>IF(AND(ISNUMBER(SEARCH("Breakfast",$C344)),$D344="Chinese"),RAND(),"")</f>
        <v/>
      </c>
      <c r="I344" s="28">
        <f>IF(AND(ISNUMBER(SEARCH("Breakfast",$C344)),$D344="Western"),RAND(),"")</f>
        <v/>
      </c>
      <c r="J344" s="28">
        <f>IF(AND(ISNUMBER(SEARCH("Lunch",$C344)),$D344="Asian"),RAND(),"")</f>
        <v/>
      </c>
      <c r="K344" s="28">
        <f>IF(AND(ISNUMBER(SEARCH("Lunch",$C344)),$D344="Chinese"),RAND(),"")</f>
        <v/>
      </c>
      <c r="L344" s="28">
        <f>IF(AND(ISNUMBER(SEARCH("Lunch",$C344)),$D344="Western"),RAND(),"")</f>
        <v/>
      </c>
      <c r="M344" s="28">
        <f>IF(AND(ISNUMBER(SEARCH("Dinner",$C344)),$D344="Asian"),RAND(),"")</f>
        <v/>
      </c>
      <c r="N344" s="28">
        <f>IF(AND(ISNUMBER(SEARCH("Dinner",$C344)),$D344="Chinese"),RAND(),"")</f>
        <v/>
      </c>
      <c r="O344" s="28">
        <f>IF(AND(ISNUMBER(SEARCH("Dinner",$C344)),$D344="Western"),RAND(),"")</f>
        <v/>
      </c>
    </row>
    <row r="345" ht="15.75" customHeight="1" s="36">
      <c r="A345" s="18" t="inlineStr">
        <is>
          <t>Quinoa Potato Waffles</t>
        </is>
      </c>
      <c r="B345" s="18" t="inlineStr">
        <is>
          <t>Potato, Quinoa, Ginger, Onion, Cilantro, Bacon</t>
        </is>
      </c>
      <c r="C345" s="17" t="inlineStr">
        <is>
          <t>Lunch</t>
        </is>
      </c>
      <c r="D345" s="30" t="inlineStr">
        <is>
          <t>Western</t>
        </is>
      </c>
      <c r="E345" s="17" t="inlineStr">
        <is>
          <t>High</t>
        </is>
      </c>
      <c r="F345" s="19" t="inlineStr">
        <is>
          <t>https://www.instagram.com/reel/C9pFtsJCFu8/?igsh=OW45emg0OXl0b2U4</t>
        </is>
      </c>
      <c r="G345" s="27">
        <f>IF(AND(ISNUMBER(SEARCH("Breakfast",$C345)),$D345="Asian"),RAND(),"")</f>
        <v/>
      </c>
      <c r="H345" s="27">
        <f>IF(AND(ISNUMBER(SEARCH("Breakfast",$C345)),$D345="Chinese"),RAND(),"")</f>
        <v/>
      </c>
      <c r="I345" s="27">
        <f>IF(AND(ISNUMBER(SEARCH("Breakfast",$C345)),$D345="Western"),RAND(),"")</f>
        <v/>
      </c>
      <c r="J345" s="27">
        <f>IF(AND(ISNUMBER(SEARCH("Lunch",$C345)),$D345="Asian"),RAND(),"")</f>
        <v/>
      </c>
      <c r="K345" s="27">
        <f>IF(AND(ISNUMBER(SEARCH("Lunch",$C345)),$D345="Chinese"),RAND(),"")</f>
        <v/>
      </c>
      <c r="L345" s="27">
        <f>IF(AND(ISNUMBER(SEARCH("Lunch",$C345)),$D345="Western"),RAND(),"")</f>
        <v/>
      </c>
      <c r="M345" s="27">
        <f>IF(AND(ISNUMBER(SEARCH("Dinner",$C345)),$D345="Asian"),RAND(),"")</f>
        <v/>
      </c>
      <c r="N345" s="27">
        <f>IF(AND(ISNUMBER(SEARCH("Dinner",$C345)),$D345="Chinese"),RAND(),"")</f>
        <v/>
      </c>
      <c r="O345" s="27">
        <f>IF(AND(ISNUMBER(SEARCH("Dinner",$C345)),$D345="Western"),RAND(),"")</f>
        <v/>
      </c>
    </row>
    <row r="346" ht="15.75" customHeight="1" s="36">
      <c r="A346" s="22" t="inlineStr">
        <is>
          <t>Quinoa Salad</t>
        </is>
      </c>
      <c r="B346" s="22" t="inlineStr">
        <is>
          <t>Quinnoa, Feta Cheese, Cucumber, Sweet Corn, Lemon, Olive Oil, Avocado</t>
        </is>
      </c>
      <c r="C346" s="21" t="inlineStr">
        <is>
          <t>Lunch</t>
        </is>
      </c>
      <c r="D346" s="30" t="inlineStr">
        <is>
          <t>Western</t>
        </is>
      </c>
      <c r="E346" s="21" t="inlineStr">
        <is>
          <t>High</t>
        </is>
      </c>
      <c r="F346" s="23" t="inlineStr">
        <is>
          <t>https://www.kitchenstories.com/en/recipes/quinoa-corn-and-avocado-salad</t>
        </is>
      </c>
      <c r="G346" s="28">
        <f>IF(AND(ISNUMBER(SEARCH("Breakfast",$C346)),$D346="Asian"),RAND(),"")</f>
        <v/>
      </c>
      <c r="H346" s="28">
        <f>IF(AND(ISNUMBER(SEARCH("Breakfast",$C346)),$D346="Chinese"),RAND(),"")</f>
        <v/>
      </c>
      <c r="I346" s="28">
        <f>IF(AND(ISNUMBER(SEARCH("Breakfast",$C346)),$D346="Western"),RAND(),"")</f>
        <v/>
      </c>
      <c r="J346" s="28">
        <f>IF(AND(ISNUMBER(SEARCH("Lunch",$C346)),$D346="Asian"),RAND(),"")</f>
        <v/>
      </c>
      <c r="K346" s="28">
        <f>IF(AND(ISNUMBER(SEARCH("Lunch",$C346)),$D346="Chinese"),RAND(),"")</f>
        <v/>
      </c>
      <c r="L346" s="28">
        <f>IF(AND(ISNUMBER(SEARCH("Lunch",$C346)),$D346="Western"),RAND(),"")</f>
        <v/>
      </c>
      <c r="M346" s="28">
        <f>IF(AND(ISNUMBER(SEARCH("Dinner",$C346)),$D346="Asian"),RAND(),"")</f>
        <v/>
      </c>
      <c r="N346" s="28">
        <f>IF(AND(ISNUMBER(SEARCH("Dinner",$C346)),$D346="Chinese"),RAND(),"")</f>
        <v/>
      </c>
      <c r="O346" s="28">
        <f>IF(AND(ISNUMBER(SEARCH("Dinner",$C346)),$D346="Western"),RAND(),"")</f>
        <v/>
      </c>
    </row>
    <row r="347" ht="15.75" customHeight="1" s="36">
      <c r="A347" s="18" t="inlineStr">
        <is>
          <t>Radish meat</t>
        </is>
      </c>
      <c r="B347" s="18" t="inlineStr">
        <is>
          <t>Radish, Pork slices, Spring Onion</t>
        </is>
      </c>
      <c r="C347" s="17" t="inlineStr">
        <is>
          <t>Dinner</t>
        </is>
      </c>
      <c r="D347" s="33" t="inlineStr">
        <is>
          <t>Asian</t>
        </is>
      </c>
      <c r="E347" s="17" t="inlineStr">
        <is>
          <t>Low</t>
        </is>
      </c>
      <c r="F347" s="19" t="inlineStr">
        <is>
          <t>https://icook.tw/recipes/225842?utm_source=copy&amp;utm_medium=sharev3&amp;utm_campaign=recipe-share</t>
        </is>
      </c>
      <c r="G347" s="27">
        <f>IF(AND(ISNUMBER(SEARCH("Breakfast",$C347)),$D347="Asian"),RAND(),"")</f>
        <v/>
      </c>
      <c r="H347" s="27">
        <f>IF(AND(ISNUMBER(SEARCH("Breakfast",$C347)),$D347="Chinese"),RAND(),"")</f>
        <v/>
      </c>
      <c r="I347" s="27">
        <f>IF(AND(ISNUMBER(SEARCH("Breakfast",$C347)),$D347="Western"),RAND(),"")</f>
        <v/>
      </c>
      <c r="J347" s="27">
        <f>IF(AND(ISNUMBER(SEARCH("Lunch",$C347)),$D347="Asian"),RAND(),"")</f>
        <v/>
      </c>
      <c r="K347" s="27">
        <f>IF(AND(ISNUMBER(SEARCH("Lunch",$C347)),$D347="Chinese"),RAND(),"")</f>
        <v/>
      </c>
      <c r="L347" s="27">
        <f>IF(AND(ISNUMBER(SEARCH("Lunch",$C347)),$D347="Western"),RAND(),"")</f>
        <v/>
      </c>
      <c r="M347" s="27">
        <f>IF(AND(ISNUMBER(SEARCH("Dinner",$C347)),$D347="Asian"),RAND(),"")</f>
        <v/>
      </c>
      <c r="N347" s="27">
        <f>IF(AND(ISNUMBER(SEARCH("Dinner",$C347)),$D347="Chinese"),RAND(),"")</f>
        <v/>
      </c>
      <c r="O347" s="27">
        <f>IF(AND(ISNUMBER(SEARCH("Dinner",$C347)),$D347="Western"),RAND(),"")</f>
        <v/>
      </c>
    </row>
    <row r="348" ht="15.75" customHeight="1" s="36">
      <c r="A348" s="22" t="inlineStr">
        <is>
          <t>Random Vege</t>
        </is>
      </c>
      <c r="B348" s="22" t="inlineStr">
        <is>
          <t>Si Gua, Carrot, Small Corn, Fungus, Garlic, Spring onion, Oyster Sauce, Black Vinegar, Black and White Pepper</t>
        </is>
      </c>
      <c r="C348" s="21" t="inlineStr">
        <is>
          <t>Dinner</t>
        </is>
      </c>
      <c r="D348" s="26" t="inlineStr">
        <is>
          <t>Chinese</t>
        </is>
      </c>
      <c r="E348" s="21" t="inlineStr">
        <is>
          <t>Med</t>
        </is>
      </c>
      <c r="F348" s="23" t="inlineStr">
        <is>
          <t>https://icook.tw/recipes/419547?utm_source=copy&amp;utm_medium=sharev3&amp;utm_campaign=recipe-share</t>
        </is>
      </c>
      <c r="G348" s="28">
        <f>IF(AND(ISNUMBER(SEARCH("Breakfast",$C348)),$D348="Asian"),RAND(),"")</f>
        <v/>
      </c>
      <c r="H348" s="28">
        <f>IF(AND(ISNUMBER(SEARCH("Breakfast",$C348)),$D348="Chinese"),RAND(),"")</f>
        <v/>
      </c>
      <c r="I348" s="28">
        <f>IF(AND(ISNUMBER(SEARCH("Breakfast",$C348)),$D348="Western"),RAND(),"")</f>
        <v/>
      </c>
      <c r="J348" s="28">
        <f>IF(AND(ISNUMBER(SEARCH("Lunch",$C348)),$D348="Asian"),RAND(),"")</f>
        <v/>
      </c>
      <c r="K348" s="28">
        <f>IF(AND(ISNUMBER(SEARCH("Lunch",$C348)),$D348="Chinese"),RAND(),"")</f>
        <v/>
      </c>
      <c r="L348" s="28">
        <f>IF(AND(ISNUMBER(SEARCH("Lunch",$C348)),$D348="Western"),RAND(),"")</f>
        <v/>
      </c>
      <c r="M348" s="28">
        <f>IF(AND(ISNUMBER(SEARCH("Dinner",$C348)),$D348="Asian"),RAND(),"")</f>
        <v/>
      </c>
      <c r="N348" s="28">
        <f>IF(AND(ISNUMBER(SEARCH("Dinner",$C348)),$D348="Chinese"),RAND(),"")</f>
        <v/>
      </c>
      <c r="O348" s="28">
        <f>IF(AND(ISNUMBER(SEARCH("Dinner",$C348)),$D348="Western"),RAND(),"")</f>
        <v/>
      </c>
    </row>
    <row r="349" ht="15.75" customHeight="1" s="36">
      <c r="A349" s="22" t="inlineStr">
        <is>
          <t>Red Kidney Bean</t>
        </is>
      </c>
      <c r="B349" s="22" t="inlineStr">
        <is>
          <t>Red Kidney Bean, Baking Soda, Olive Oil, Onion, Garlic, Turmeric Powder, Tomato Paste, Ground Cumin, Mint, Cilantro, Italian Seasoning</t>
        </is>
      </c>
      <c r="C349" s="21" t="inlineStr">
        <is>
          <t>Lunch</t>
        </is>
      </c>
      <c r="D349" s="33" t="inlineStr">
        <is>
          <t>Western</t>
        </is>
      </c>
      <c r="E349" s="21" t="inlineStr">
        <is>
          <t>Low</t>
        </is>
      </c>
      <c r="F349" s="23" t="inlineStr">
        <is>
          <t>https://www.aheadofthyme.com/one-pot-red-kidney-beans/</t>
        </is>
      </c>
      <c r="G349" s="28">
        <f>IF(AND(ISNUMBER(SEARCH("Breakfast",$C349)),$D349="Asian"),RAND(),"")</f>
        <v/>
      </c>
      <c r="H349" s="28">
        <f>IF(AND(ISNUMBER(SEARCH("Breakfast",$C349)),$D349="Chinese"),RAND(),"")</f>
        <v/>
      </c>
      <c r="I349" s="28">
        <f>IF(AND(ISNUMBER(SEARCH("Breakfast",$C349)),$D349="Western"),RAND(),"")</f>
        <v/>
      </c>
      <c r="J349" s="28">
        <f>IF(AND(ISNUMBER(SEARCH("Lunch",$C349)),$D349="Asian"),RAND(),"")</f>
        <v/>
      </c>
      <c r="K349" s="28">
        <f>IF(AND(ISNUMBER(SEARCH("Lunch",$C349)),$D349="Chinese"),RAND(),"")</f>
        <v/>
      </c>
      <c r="L349" s="28">
        <f>IF(AND(ISNUMBER(SEARCH("Lunch",$C349)),$D349="Western"),RAND(),"")</f>
        <v/>
      </c>
      <c r="M349" s="28">
        <f>IF(AND(ISNUMBER(SEARCH("Dinner",$C349)),$D349="Asian"),RAND(),"")</f>
        <v/>
      </c>
      <c r="N349" s="28">
        <f>IF(AND(ISNUMBER(SEARCH("Dinner",$C349)),$D349="Chinese"),RAND(),"")</f>
        <v/>
      </c>
      <c r="O349" s="28">
        <f>IF(AND(ISNUMBER(SEARCH("Dinner",$C349)),$D349="Western"),RAND(),"")</f>
        <v/>
      </c>
    </row>
    <row r="350" ht="15.75" customHeight="1" s="36">
      <c r="A350" s="18" t="inlineStr">
        <is>
          <t>Red Lentil Stew</t>
        </is>
      </c>
      <c r="B350" s="18" t="inlineStr">
        <is>
          <t>—</t>
        </is>
      </c>
      <c r="C350" s="17" t="inlineStr">
        <is>
          <t>Dinner</t>
        </is>
      </c>
      <c r="D350" s="30" t="inlineStr">
        <is>
          <t>Western</t>
        </is>
      </c>
      <c r="E350" s="17" t="inlineStr">
        <is>
          <t>Med</t>
        </is>
      </c>
      <c r="F350" s="18" t="n"/>
      <c r="G350" s="27">
        <f>IF(AND(ISNUMBER(SEARCH("Breakfast",$C350)),$D350="Asian"),RAND(),"")</f>
        <v/>
      </c>
      <c r="H350" s="27">
        <f>IF(AND(ISNUMBER(SEARCH("Breakfast",$C350)),$D350="Chinese"),RAND(),"")</f>
        <v/>
      </c>
      <c r="I350" s="27">
        <f>IF(AND(ISNUMBER(SEARCH("Breakfast",$C350)),$D350="Western"),RAND(),"")</f>
        <v/>
      </c>
      <c r="J350" s="27">
        <f>IF(AND(ISNUMBER(SEARCH("Lunch",$C350)),$D350="Asian"),RAND(),"")</f>
        <v/>
      </c>
      <c r="K350" s="27">
        <f>IF(AND(ISNUMBER(SEARCH("Lunch",$C350)),$D350="Chinese"),RAND(),"")</f>
        <v/>
      </c>
      <c r="L350" s="27">
        <f>IF(AND(ISNUMBER(SEARCH("Lunch",$C350)),$D350="Western"),RAND(),"")</f>
        <v/>
      </c>
      <c r="M350" s="27">
        <f>IF(AND(ISNUMBER(SEARCH("Dinner",$C350)),$D350="Asian"),RAND(),"")</f>
        <v/>
      </c>
      <c r="N350" s="27">
        <f>IF(AND(ISNUMBER(SEARCH("Dinner",$C350)),$D350="Chinese"),RAND(),"")</f>
        <v/>
      </c>
      <c r="O350" s="27">
        <f>IF(AND(ISNUMBER(SEARCH("Dinner",$C350)),$D350="Western"),RAND(),"")</f>
        <v/>
      </c>
    </row>
    <row r="351" ht="15.75" customHeight="1" s="36">
      <c r="A351" s="22" t="inlineStr">
        <is>
          <t>Red lentils</t>
        </is>
      </c>
      <c r="B351" s="22" t="inlineStr">
        <is>
          <t>Olive Oil, Onion, Garlic, Ginger, curry powder, Carrot, Tomato Sauce, Vegetable stock, Salt, Pepper</t>
        </is>
      </c>
      <c r="C351" s="21" t="inlineStr">
        <is>
          <t>Dinner</t>
        </is>
      </c>
      <c r="D351" s="29" t="inlineStr">
        <is>
          <t>Asian</t>
        </is>
      </c>
      <c r="E351" s="21" t="inlineStr">
        <is>
          <t>Med</t>
        </is>
      </c>
      <c r="F351" s="23" t="inlineStr">
        <is>
          <t>https://www.instagram.com/reel/DBgels5o3k8/?igsh=ZXdlMWgzaDBobW1h</t>
        </is>
      </c>
      <c r="G351" s="28">
        <f>IF(AND(ISNUMBER(SEARCH("Breakfast",$C351)),$D351="Asian"),RAND(),"")</f>
        <v/>
      </c>
      <c r="H351" s="28">
        <f>IF(AND(ISNUMBER(SEARCH("Breakfast",$C351)),$D351="Chinese"),RAND(),"")</f>
        <v/>
      </c>
      <c r="I351" s="28">
        <f>IF(AND(ISNUMBER(SEARCH("Breakfast",$C351)),$D351="Western"),RAND(),"")</f>
        <v/>
      </c>
      <c r="J351" s="28">
        <f>IF(AND(ISNUMBER(SEARCH("Lunch",$C351)),$D351="Asian"),RAND(),"")</f>
        <v/>
      </c>
      <c r="K351" s="28">
        <f>IF(AND(ISNUMBER(SEARCH("Lunch",$C351)),$D351="Chinese"),RAND(),"")</f>
        <v/>
      </c>
      <c r="L351" s="28">
        <f>IF(AND(ISNUMBER(SEARCH("Lunch",$C351)),$D351="Western"),RAND(),"")</f>
        <v/>
      </c>
      <c r="M351" s="28">
        <f>IF(AND(ISNUMBER(SEARCH("Dinner",$C351)),$D351="Asian"),RAND(),"")</f>
        <v/>
      </c>
      <c r="N351" s="28">
        <f>IF(AND(ISNUMBER(SEARCH("Dinner",$C351)),$D351="Chinese"),RAND(),"")</f>
        <v/>
      </c>
      <c r="O351" s="28">
        <f>IF(AND(ISNUMBER(SEARCH("Dinner",$C351)),$D351="Western"),RAND(),"")</f>
        <v/>
      </c>
    </row>
    <row r="352" ht="15.75" customHeight="1" s="36">
      <c r="A352" s="18" t="inlineStr">
        <is>
          <t>Rice Paper Pancake</t>
        </is>
      </c>
      <c r="B352" s="18" t="inlineStr">
        <is>
          <t>Rice Paper, Carrot, Onion, Red Cabbage, Spring Onion, Cheese</t>
        </is>
      </c>
      <c r="C352" s="17" t="inlineStr">
        <is>
          <t>Dinner</t>
        </is>
      </c>
      <c r="D352" s="30" t="inlineStr">
        <is>
          <t>Western</t>
        </is>
      </c>
      <c r="E352" s="17" t="inlineStr">
        <is>
          <t>Med</t>
        </is>
      </c>
      <c r="F352" s="19" t="inlineStr">
        <is>
          <t>https://www.instagram.com/reel/C7wyoesqqFL/?igsh=dGF2OGVjd3M4bWhs</t>
        </is>
      </c>
      <c r="G352" s="27">
        <f>IF(AND(ISNUMBER(SEARCH("Breakfast",$C352)),$D352="Asian"),RAND(),"")</f>
        <v/>
      </c>
      <c r="H352" s="27">
        <f>IF(AND(ISNUMBER(SEARCH("Breakfast",$C352)),$D352="Chinese"),RAND(),"")</f>
        <v/>
      </c>
      <c r="I352" s="27">
        <f>IF(AND(ISNUMBER(SEARCH("Breakfast",$C352)),$D352="Western"),RAND(),"")</f>
        <v/>
      </c>
      <c r="J352" s="27">
        <f>IF(AND(ISNUMBER(SEARCH("Lunch",$C352)),$D352="Asian"),RAND(),"")</f>
        <v/>
      </c>
      <c r="K352" s="27">
        <f>IF(AND(ISNUMBER(SEARCH("Lunch",$C352)),$D352="Chinese"),RAND(),"")</f>
        <v/>
      </c>
      <c r="L352" s="27">
        <f>IF(AND(ISNUMBER(SEARCH("Lunch",$C352)),$D352="Western"),RAND(),"")</f>
        <v/>
      </c>
      <c r="M352" s="27">
        <f>IF(AND(ISNUMBER(SEARCH("Dinner",$C352)),$D352="Asian"),RAND(),"")</f>
        <v/>
      </c>
      <c r="N352" s="27">
        <f>IF(AND(ISNUMBER(SEARCH("Dinner",$C352)),$D352="Chinese"),RAND(),"")</f>
        <v/>
      </c>
      <c r="O352" s="27">
        <f>IF(AND(ISNUMBER(SEARCH("Dinner",$C352)),$D352="Western"),RAND(),"")</f>
        <v/>
      </c>
    </row>
    <row r="353" ht="15.75" customHeight="1" s="36">
      <c r="A353" s="22" t="inlineStr">
        <is>
          <t>Rice Paper Soy Chili Oil</t>
        </is>
      </c>
      <c r="B353" s="22" t="inlineStr">
        <is>
          <t>Rice Paper, Garlic, Green Onion, Sesame Seed, Soy Sauce, Chicken Broth</t>
        </is>
      </c>
      <c r="C353" s="21" t="inlineStr">
        <is>
          <t>Dinner</t>
        </is>
      </c>
      <c r="D353" s="29" t="inlineStr">
        <is>
          <t>Asian</t>
        </is>
      </c>
      <c r="E353" s="21" t="inlineStr">
        <is>
          <t>Med</t>
        </is>
      </c>
      <c r="F353" s="23" t="inlineStr">
        <is>
          <t>https://www.instagram.com/reel/C-YRz1KS_nU/?igsh=c3ZsMWZqY2Y0NmRn</t>
        </is>
      </c>
      <c r="G353" s="28">
        <f>IF(AND(ISNUMBER(SEARCH("Breakfast",$C353)),$D353="Asian"),RAND(),"")</f>
        <v/>
      </c>
      <c r="H353" s="28">
        <f>IF(AND(ISNUMBER(SEARCH("Breakfast",$C353)),$D353="Chinese"),RAND(),"")</f>
        <v/>
      </c>
      <c r="I353" s="28">
        <f>IF(AND(ISNUMBER(SEARCH("Breakfast",$C353)),$D353="Western"),RAND(),"")</f>
        <v/>
      </c>
      <c r="J353" s="28">
        <f>IF(AND(ISNUMBER(SEARCH("Lunch",$C353)),$D353="Asian"),RAND(),"")</f>
        <v/>
      </c>
      <c r="K353" s="28">
        <f>IF(AND(ISNUMBER(SEARCH("Lunch",$C353)),$D353="Chinese"),RAND(),"")</f>
        <v/>
      </c>
      <c r="L353" s="28">
        <f>IF(AND(ISNUMBER(SEARCH("Lunch",$C353)),$D353="Western"),RAND(),"")</f>
        <v/>
      </c>
      <c r="M353" s="28">
        <f>IF(AND(ISNUMBER(SEARCH("Dinner",$C353)),$D353="Asian"),RAND(),"")</f>
        <v/>
      </c>
      <c r="N353" s="28">
        <f>IF(AND(ISNUMBER(SEARCH("Dinner",$C353)),$D353="Chinese"),RAND(),"")</f>
        <v/>
      </c>
      <c r="O353" s="28">
        <f>IF(AND(ISNUMBER(SEARCH("Dinner",$C353)),$D353="Western"),RAND(),"")</f>
        <v/>
      </c>
    </row>
    <row r="354" ht="15.75" customHeight="1" s="36">
      <c r="A354" s="18" t="inlineStr">
        <is>
          <t>Roast Chicken</t>
        </is>
      </c>
      <c r="B354" s="18" t="inlineStr">
        <is>
          <t>Chicken, Lemon, Rosemary, Salt, Black pepper, Olive oil, Unsalted butter, Garlic, Chopped parsley, Chopped rosemary, White wine, Onion</t>
        </is>
      </c>
      <c r="C354" s="17" t="inlineStr">
        <is>
          <t>Dinner</t>
        </is>
      </c>
      <c r="D354" s="33" t="inlineStr">
        <is>
          <t>Western</t>
        </is>
      </c>
      <c r="E354" s="17" t="inlineStr">
        <is>
          <t>Low</t>
        </is>
      </c>
      <c r="F354" s="19" t="inlineStr">
        <is>
          <t>https://www.recipetineats.com/roast-chicken/#recipe</t>
        </is>
      </c>
      <c r="G354" s="27">
        <f>IF(AND(ISNUMBER(SEARCH("Breakfast",$C354)),$D354="Asian"),RAND(),"")</f>
        <v/>
      </c>
      <c r="H354" s="27">
        <f>IF(AND(ISNUMBER(SEARCH("Breakfast",$C354)),$D354="Chinese"),RAND(),"")</f>
        <v/>
      </c>
      <c r="I354" s="27">
        <f>IF(AND(ISNUMBER(SEARCH("Breakfast",$C354)),$D354="Western"),RAND(),"")</f>
        <v/>
      </c>
      <c r="J354" s="27">
        <f>IF(AND(ISNUMBER(SEARCH("Lunch",$C354)),$D354="Asian"),RAND(),"")</f>
        <v/>
      </c>
      <c r="K354" s="27">
        <f>IF(AND(ISNUMBER(SEARCH("Lunch",$C354)),$D354="Chinese"),RAND(),"")</f>
        <v/>
      </c>
      <c r="L354" s="27">
        <f>IF(AND(ISNUMBER(SEARCH("Lunch",$C354)),$D354="Western"),RAND(),"")</f>
        <v/>
      </c>
      <c r="M354" s="27">
        <f>IF(AND(ISNUMBER(SEARCH("Dinner",$C354)),$D354="Asian"),RAND(),"")</f>
        <v/>
      </c>
      <c r="N354" s="27">
        <f>IF(AND(ISNUMBER(SEARCH("Dinner",$C354)),$D354="Chinese"),RAND(),"")</f>
        <v/>
      </c>
      <c r="O354" s="27">
        <f>IF(AND(ISNUMBER(SEARCH("Dinner",$C354)),$D354="Western"),RAND(),"")</f>
        <v/>
      </c>
    </row>
    <row r="355" ht="15.75" customHeight="1" s="36">
      <c r="A355" s="22" t="inlineStr">
        <is>
          <t>Roasted Brussels</t>
        </is>
      </c>
      <c r="B355" s="22" t="inlineStr">
        <is>
          <t>Brussel Sprouts, Walnuts, Honey, Lemon, Butter, Vinegar</t>
        </is>
      </c>
      <c r="C355" s="21" t="inlineStr">
        <is>
          <t>Dinner</t>
        </is>
      </c>
      <c r="D355" s="33" t="inlineStr">
        <is>
          <t>Western</t>
        </is>
      </c>
      <c r="E355" s="21" t="inlineStr">
        <is>
          <t>Low</t>
        </is>
      </c>
      <c r="F355" s="23" t="inlineStr">
        <is>
          <t>https://www.kitchenstories.com/en/recipes/roasted-brussels-sprouts-with-walnuts-and-honey-glaze</t>
        </is>
      </c>
      <c r="G355" s="28">
        <f>IF(AND(ISNUMBER(SEARCH("Breakfast",$C355)),$D355="Asian"),RAND(),"")</f>
        <v/>
      </c>
      <c r="H355" s="28">
        <f>IF(AND(ISNUMBER(SEARCH("Breakfast",$C355)),$D355="Chinese"),RAND(),"")</f>
        <v/>
      </c>
      <c r="I355" s="28">
        <f>IF(AND(ISNUMBER(SEARCH("Breakfast",$C355)),$D355="Western"),RAND(),"")</f>
        <v/>
      </c>
      <c r="J355" s="28">
        <f>IF(AND(ISNUMBER(SEARCH("Lunch",$C355)),$D355="Asian"),RAND(),"")</f>
        <v/>
      </c>
      <c r="K355" s="28">
        <f>IF(AND(ISNUMBER(SEARCH("Lunch",$C355)),$D355="Chinese"),RAND(),"")</f>
        <v/>
      </c>
      <c r="L355" s="28">
        <f>IF(AND(ISNUMBER(SEARCH("Lunch",$C355)),$D355="Western"),RAND(),"")</f>
        <v/>
      </c>
      <c r="M355" s="28">
        <f>IF(AND(ISNUMBER(SEARCH("Dinner",$C355)),$D355="Asian"),RAND(),"")</f>
        <v/>
      </c>
      <c r="N355" s="28">
        <f>IF(AND(ISNUMBER(SEARCH("Dinner",$C355)),$D355="Chinese"),RAND(),"")</f>
        <v/>
      </c>
      <c r="O355" s="28">
        <f>IF(AND(ISNUMBER(SEARCH("Dinner",$C355)),$D355="Western"),RAND(),"")</f>
        <v/>
      </c>
    </row>
    <row r="356" ht="15.75" customHeight="1" s="36">
      <c r="A356" s="18" t="inlineStr">
        <is>
          <t>Roasted Cabbage</t>
        </is>
      </c>
      <c r="B356" s="18" t="inlineStr">
        <is>
          <t>Cabbage, tomato, Cheese, Paprika, Butter, Chicken Stock, Lime</t>
        </is>
      </c>
      <c r="C356" s="17" t="inlineStr">
        <is>
          <t>Dinner</t>
        </is>
      </c>
      <c r="D356" s="33" t="inlineStr">
        <is>
          <t>Western</t>
        </is>
      </c>
      <c r="E356" s="17" t="inlineStr">
        <is>
          <t>Low</t>
        </is>
      </c>
      <c r="F356" s="19" t="inlineStr">
        <is>
          <t>https://www.instagram.com/p/CVUy2gjscY4/?utm_medium=copy_link</t>
        </is>
      </c>
      <c r="G356" s="27">
        <f>IF(AND(ISNUMBER(SEARCH("Breakfast",$C356)),$D356="Asian"),RAND(),"")</f>
        <v/>
      </c>
      <c r="H356" s="27">
        <f>IF(AND(ISNUMBER(SEARCH("Breakfast",$C356)),$D356="Chinese"),RAND(),"")</f>
        <v/>
      </c>
      <c r="I356" s="27">
        <f>IF(AND(ISNUMBER(SEARCH("Breakfast",$C356)),$D356="Western"),RAND(),"")</f>
        <v/>
      </c>
      <c r="J356" s="27">
        <f>IF(AND(ISNUMBER(SEARCH("Lunch",$C356)),$D356="Asian"),RAND(),"")</f>
        <v/>
      </c>
      <c r="K356" s="27">
        <f>IF(AND(ISNUMBER(SEARCH("Lunch",$C356)),$D356="Chinese"),RAND(),"")</f>
        <v/>
      </c>
      <c r="L356" s="27">
        <f>IF(AND(ISNUMBER(SEARCH("Lunch",$C356)),$D356="Western"),RAND(),"")</f>
        <v/>
      </c>
      <c r="M356" s="27">
        <f>IF(AND(ISNUMBER(SEARCH("Dinner",$C356)),$D356="Asian"),RAND(),"")</f>
        <v/>
      </c>
      <c r="N356" s="27">
        <f>IF(AND(ISNUMBER(SEARCH("Dinner",$C356)),$D356="Chinese"),RAND(),"")</f>
        <v/>
      </c>
      <c r="O356" s="27">
        <f>IF(AND(ISNUMBER(SEARCH("Dinner",$C356)),$D356="Western"),RAND(),"")</f>
        <v/>
      </c>
    </row>
    <row r="357" ht="15.75" customHeight="1" s="36">
      <c r="A357" s="22" t="inlineStr">
        <is>
          <t>Roasted cauliflower</t>
        </is>
      </c>
      <c r="B357" s="22" t="inlineStr">
        <is>
          <t>Cauliflower, Honey, Chilli Sauce, Flour, Starch, Yoghurt, Salt, Paprika, Garlic, Breadcrumbs, Basil, Carrot, Red Onion, Parsley, Tahini, Cumin, Lemon Juice</t>
        </is>
      </c>
      <c r="C357" s="21" t="inlineStr">
        <is>
          <t>Dinner</t>
        </is>
      </c>
      <c r="D357" s="30" t="inlineStr">
        <is>
          <t>Western</t>
        </is>
      </c>
      <c r="E357" s="21" t="inlineStr">
        <is>
          <t>Med</t>
        </is>
      </c>
      <c r="F357" s="23" t="inlineStr">
        <is>
          <t>https://www.kitchenstories.com/en/recipes/baked-popcorn-cauliflower-with-hot-honey</t>
        </is>
      </c>
      <c r="G357" s="28">
        <f>IF(AND(ISNUMBER(SEARCH("Breakfast",$C357)),$D357="Asian"),RAND(),"")</f>
        <v/>
      </c>
      <c r="H357" s="28">
        <f>IF(AND(ISNUMBER(SEARCH("Breakfast",$C357)),$D357="Chinese"),RAND(),"")</f>
        <v/>
      </c>
      <c r="I357" s="28">
        <f>IF(AND(ISNUMBER(SEARCH("Breakfast",$C357)),$D357="Western"),RAND(),"")</f>
        <v/>
      </c>
      <c r="J357" s="28">
        <f>IF(AND(ISNUMBER(SEARCH("Lunch",$C357)),$D357="Asian"),RAND(),"")</f>
        <v/>
      </c>
      <c r="K357" s="28">
        <f>IF(AND(ISNUMBER(SEARCH("Lunch",$C357)),$D357="Chinese"),RAND(),"")</f>
        <v/>
      </c>
      <c r="L357" s="28">
        <f>IF(AND(ISNUMBER(SEARCH("Lunch",$C357)),$D357="Western"),RAND(),"")</f>
        <v/>
      </c>
      <c r="M357" s="28">
        <f>IF(AND(ISNUMBER(SEARCH("Dinner",$C357)),$D357="Asian"),RAND(),"")</f>
        <v/>
      </c>
      <c r="N357" s="28">
        <f>IF(AND(ISNUMBER(SEARCH("Dinner",$C357)),$D357="Chinese"),RAND(),"")</f>
        <v/>
      </c>
      <c r="O357" s="28">
        <f>IF(AND(ISNUMBER(SEARCH("Dinner",$C357)),$D357="Western"),RAND(),"")</f>
        <v/>
      </c>
    </row>
    <row r="358" ht="15.75" customHeight="1" s="36">
      <c r="A358" s="18" t="inlineStr">
        <is>
          <t>Roasted Duck</t>
        </is>
      </c>
      <c r="B358" s="18" t="inlineStr">
        <is>
          <t>Duck, honey, Soya Sauce, oyster sauce, Dark Soya Sauce, White Pepper, Five Spice Powder, Shaoxing Wine</t>
        </is>
      </c>
      <c r="C358" s="17" t="inlineStr">
        <is>
          <t>Dinner</t>
        </is>
      </c>
      <c r="D358" s="26" t="inlineStr">
        <is>
          <t>Chinese</t>
        </is>
      </c>
      <c r="E358" s="17" t="inlineStr">
        <is>
          <t>High</t>
        </is>
      </c>
      <c r="F358" s="19" t="inlineStr">
        <is>
          <t>https://icook.tw/recipes/435231?utm_source=copy&amp;utm_medium=sharev3&amp;utm_campaign=recipe-share</t>
        </is>
      </c>
      <c r="G358" s="27">
        <f>IF(AND(ISNUMBER(SEARCH("Breakfast",$C358)),$D358="Asian"),RAND(),"")</f>
        <v/>
      </c>
      <c r="H358" s="27">
        <f>IF(AND(ISNUMBER(SEARCH("Breakfast",$C358)),$D358="Chinese"),RAND(),"")</f>
        <v/>
      </c>
      <c r="I358" s="27">
        <f>IF(AND(ISNUMBER(SEARCH("Breakfast",$C358)),$D358="Western"),RAND(),"")</f>
        <v/>
      </c>
      <c r="J358" s="27">
        <f>IF(AND(ISNUMBER(SEARCH("Lunch",$C358)),$D358="Asian"),RAND(),"")</f>
        <v/>
      </c>
      <c r="K358" s="27">
        <f>IF(AND(ISNUMBER(SEARCH("Lunch",$C358)),$D358="Chinese"),RAND(),"")</f>
        <v/>
      </c>
      <c r="L358" s="27">
        <f>IF(AND(ISNUMBER(SEARCH("Lunch",$C358)),$D358="Western"),RAND(),"")</f>
        <v/>
      </c>
      <c r="M358" s="27">
        <f>IF(AND(ISNUMBER(SEARCH("Dinner",$C358)),$D358="Asian"),RAND(),"")</f>
        <v/>
      </c>
      <c r="N358" s="27">
        <f>IF(AND(ISNUMBER(SEARCH("Dinner",$C358)),$D358="Chinese"),RAND(),"")</f>
        <v/>
      </c>
      <c r="O358" s="27">
        <f>IF(AND(ISNUMBER(SEARCH("Dinner",$C358)),$D358="Western"),RAND(),"")</f>
        <v/>
      </c>
    </row>
    <row r="359" ht="15.75" customHeight="1" s="36">
      <c r="A359" s="22" t="inlineStr">
        <is>
          <t>Roasted Steam Green Beans</t>
        </is>
      </c>
      <c r="B359" s="22" t="inlineStr">
        <is>
          <t>Long Green Beans, Olive Oil, Honey, Balsamic Vinegar, Dijon Mustard, Garlic, Basil, Pine Nuts, Cheese</t>
        </is>
      </c>
      <c r="C359" s="21" t="inlineStr">
        <is>
          <t>Dinner</t>
        </is>
      </c>
      <c r="D359" s="30" t="inlineStr">
        <is>
          <t>Western</t>
        </is>
      </c>
      <c r="E359" s="21" t="inlineStr">
        <is>
          <t>Med</t>
        </is>
      </c>
      <c r="F359" s="23" t="inlineStr">
        <is>
          <t>https://zestfulkitchen.com/easy-roasted-green-beans-garlic-lemon/</t>
        </is>
      </c>
      <c r="G359" s="28">
        <f>IF(AND(ISNUMBER(SEARCH("Breakfast",$C359)),$D359="Asian"),RAND(),"")</f>
        <v/>
      </c>
      <c r="H359" s="28">
        <f>IF(AND(ISNUMBER(SEARCH("Breakfast",$C359)),$D359="Chinese"),RAND(),"")</f>
        <v/>
      </c>
      <c r="I359" s="28">
        <f>IF(AND(ISNUMBER(SEARCH("Breakfast",$C359)),$D359="Western"),RAND(),"")</f>
        <v/>
      </c>
      <c r="J359" s="28">
        <f>IF(AND(ISNUMBER(SEARCH("Lunch",$C359)),$D359="Asian"),RAND(),"")</f>
        <v/>
      </c>
      <c r="K359" s="28">
        <f>IF(AND(ISNUMBER(SEARCH("Lunch",$C359)),$D359="Chinese"),RAND(),"")</f>
        <v/>
      </c>
      <c r="L359" s="28">
        <f>IF(AND(ISNUMBER(SEARCH("Lunch",$C359)),$D359="Western"),RAND(),"")</f>
        <v/>
      </c>
      <c r="M359" s="28">
        <f>IF(AND(ISNUMBER(SEARCH("Dinner",$C359)),$D359="Asian"),RAND(),"")</f>
        <v/>
      </c>
      <c r="N359" s="28">
        <f>IF(AND(ISNUMBER(SEARCH("Dinner",$C359)),$D359="Chinese"),RAND(),"")</f>
        <v/>
      </c>
      <c r="O359" s="28">
        <f>IF(AND(ISNUMBER(SEARCH("Dinner",$C359)),$D359="Western"),RAND(),"")</f>
        <v/>
      </c>
    </row>
    <row r="360" ht="15.75" customHeight="1" s="36">
      <c r="A360" s="18" t="inlineStr">
        <is>
          <t>Rojak</t>
        </is>
      </c>
      <c r="B360" s="18" t="inlineStr">
        <is>
          <t>Peanut, youtiao, tau pok, cucumber, guava, apple, pear</t>
        </is>
      </c>
      <c r="C360" s="17" t="inlineStr">
        <is>
          <t>Dinner</t>
        </is>
      </c>
      <c r="D360" s="26" t="inlineStr">
        <is>
          <t>Chinese</t>
        </is>
      </c>
      <c r="E360" s="17" t="inlineStr">
        <is>
          <t>High</t>
        </is>
      </c>
      <c r="F360" s="18" t="n"/>
      <c r="G360" s="27">
        <f>IF(AND(ISNUMBER(SEARCH("Breakfast",$C360)),$D360="Asian"),RAND(),"")</f>
        <v/>
      </c>
      <c r="H360" s="27">
        <f>IF(AND(ISNUMBER(SEARCH("Breakfast",$C360)),$D360="Chinese"),RAND(),"")</f>
        <v/>
      </c>
      <c r="I360" s="27">
        <f>IF(AND(ISNUMBER(SEARCH("Breakfast",$C360)),$D360="Western"),RAND(),"")</f>
        <v/>
      </c>
      <c r="J360" s="27">
        <f>IF(AND(ISNUMBER(SEARCH("Lunch",$C360)),$D360="Asian"),RAND(),"")</f>
        <v/>
      </c>
      <c r="K360" s="27">
        <f>IF(AND(ISNUMBER(SEARCH("Lunch",$C360)),$D360="Chinese"),RAND(),"")</f>
        <v/>
      </c>
      <c r="L360" s="27">
        <f>IF(AND(ISNUMBER(SEARCH("Lunch",$C360)),$D360="Western"),RAND(),"")</f>
        <v/>
      </c>
      <c r="M360" s="27">
        <f>IF(AND(ISNUMBER(SEARCH("Dinner",$C360)),$D360="Asian"),RAND(),"")</f>
        <v/>
      </c>
      <c r="N360" s="27">
        <f>IF(AND(ISNUMBER(SEARCH("Dinner",$C360)),$D360="Chinese"),RAND(),"")</f>
        <v/>
      </c>
      <c r="O360" s="27">
        <f>IF(AND(ISNUMBER(SEARCH("Dinner",$C360)),$D360="Western"),RAND(),"")</f>
        <v/>
      </c>
    </row>
    <row r="361" ht="15.75" customHeight="1" s="36">
      <c r="A361" s="22" t="inlineStr">
        <is>
          <t>Rosemary Honey Chicken</t>
        </is>
      </c>
      <c r="B361" s="22" t="inlineStr">
        <is>
          <t>Butter, Garlic, Rosemary, Salt, Black Pepper, Honey, Lemon, Olive Oil, Chicken Thigh, Carrot, Potatoes, Asparagus</t>
        </is>
      </c>
      <c r="C361" s="21" t="inlineStr">
        <is>
          <t>Dinner</t>
        </is>
      </c>
      <c r="D361" s="33" t="inlineStr">
        <is>
          <t>Western</t>
        </is>
      </c>
      <c r="E361" s="21" t="inlineStr">
        <is>
          <t>Low</t>
        </is>
      </c>
      <c r="F361" s="23" t="inlineStr">
        <is>
          <t>https://www.jaroflemons.com/one-pot-honey-rosemary-chicken/#wprm-recipe-container-11569</t>
        </is>
      </c>
      <c r="G361" s="28">
        <f>IF(AND(ISNUMBER(SEARCH("Breakfast",$C361)),$D361="Asian"),RAND(),"")</f>
        <v/>
      </c>
      <c r="H361" s="28">
        <f>IF(AND(ISNUMBER(SEARCH("Breakfast",$C361)),$D361="Chinese"),RAND(),"")</f>
        <v/>
      </c>
      <c r="I361" s="28">
        <f>IF(AND(ISNUMBER(SEARCH("Breakfast",$C361)),$D361="Western"),RAND(),"")</f>
        <v/>
      </c>
      <c r="J361" s="28">
        <f>IF(AND(ISNUMBER(SEARCH("Lunch",$C361)),$D361="Asian"),RAND(),"")</f>
        <v/>
      </c>
      <c r="K361" s="28">
        <f>IF(AND(ISNUMBER(SEARCH("Lunch",$C361)),$D361="Chinese"),RAND(),"")</f>
        <v/>
      </c>
      <c r="L361" s="28">
        <f>IF(AND(ISNUMBER(SEARCH("Lunch",$C361)),$D361="Western"),RAND(),"")</f>
        <v/>
      </c>
      <c r="M361" s="28">
        <f>IF(AND(ISNUMBER(SEARCH("Dinner",$C361)),$D361="Asian"),RAND(),"")</f>
        <v/>
      </c>
      <c r="N361" s="28">
        <f>IF(AND(ISNUMBER(SEARCH("Dinner",$C361)),$D361="Chinese"),RAND(),"")</f>
        <v/>
      </c>
      <c r="O361" s="28">
        <f>IF(AND(ISNUMBER(SEARCH("Dinner",$C361)),$D361="Western"),RAND(),"")</f>
        <v/>
      </c>
    </row>
    <row r="362" ht="15.75" customHeight="1" s="36">
      <c r="A362" s="18" t="inlineStr">
        <is>
          <t>Roti Prata</t>
        </is>
      </c>
      <c r="B362" s="18" t="inlineStr">
        <is>
          <t>—</t>
        </is>
      </c>
      <c r="C362" s="17" t="inlineStr">
        <is>
          <t>Lunch</t>
        </is>
      </c>
      <c r="D362" s="29" t="inlineStr">
        <is>
          <t>Asian</t>
        </is>
      </c>
      <c r="E362" s="17" t="inlineStr">
        <is>
          <t>High</t>
        </is>
      </c>
      <c r="F362" s="18" t="n"/>
      <c r="G362" s="27">
        <f>IF(AND(ISNUMBER(SEARCH("Breakfast",$C362)),$D362="Asian"),RAND(),"")</f>
        <v/>
      </c>
      <c r="H362" s="27">
        <f>IF(AND(ISNUMBER(SEARCH("Breakfast",$C362)),$D362="Chinese"),RAND(),"")</f>
        <v/>
      </c>
      <c r="I362" s="27">
        <f>IF(AND(ISNUMBER(SEARCH("Breakfast",$C362)),$D362="Western"),RAND(),"")</f>
        <v/>
      </c>
      <c r="J362" s="27">
        <f>IF(AND(ISNUMBER(SEARCH("Lunch",$C362)),$D362="Asian"),RAND(),"")</f>
        <v/>
      </c>
      <c r="K362" s="27">
        <f>IF(AND(ISNUMBER(SEARCH("Lunch",$C362)),$D362="Chinese"),RAND(),"")</f>
        <v/>
      </c>
      <c r="L362" s="27">
        <f>IF(AND(ISNUMBER(SEARCH("Lunch",$C362)),$D362="Western"),RAND(),"")</f>
        <v/>
      </c>
      <c r="M362" s="27">
        <f>IF(AND(ISNUMBER(SEARCH("Dinner",$C362)),$D362="Asian"),RAND(),"")</f>
        <v/>
      </c>
      <c r="N362" s="27">
        <f>IF(AND(ISNUMBER(SEARCH("Dinner",$C362)),$D362="Chinese"),RAND(),"")</f>
        <v/>
      </c>
      <c r="O362" s="27">
        <f>IF(AND(ISNUMBER(SEARCH("Dinner",$C362)),$D362="Western"),RAND(),"")</f>
        <v/>
      </c>
    </row>
    <row r="363" ht="15.75" customHeight="1" s="36">
      <c r="A363" s="22" t="inlineStr">
        <is>
          <t>Rutabagas hash &amp; apples</t>
        </is>
      </c>
      <c r="B363" s="22" t="inlineStr">
        <is>
          <t>Rutabagas, Bacon, Apple, Onion, Garlic, Honey, Mustard, vege broth, Apple juice, Heavy cream, unsalted butter</t>
        </is>
      </c>
      <c r="C363" s="21" t="inlineStr">
        <is>
          <t>Dinner</t>
        </is>
      </c>
      <c r="D363" s="30" t="inlineStr">
        <is>
          <t>Western</t>
        </is>
      </c>
      <c r="E363" s="21" t="inlineStr">
        <is>
          <t>Med</t>
        </is>
      </c>
      <c r="F363" s="23" t="inlineStr">
        <is>
          <t>https://www.kitchenstories.com/en/recipes/rutabaga-hash-with-bacon-and-apples</t>
        </is>
      </c>
      <c r="G363" s="28">
        <f>IF(AND(ISNUMBER(SEARCH("Breakfast",$C363)),$D363="Asian"),RAND(),"")</f>
        <v/>
      </c>
      <c r="H363" s="28">
        <f>IF(AND(ISNUMBER(SEARCH("Breakfast",$C363)),$D363="Chinese"),RAND(),"")</f>
        <v/>
      </c>
      <c r="I363" s="28">
        <f>IF(AND(ISNUMBER(SEARCH("Breakfast",$C363)),$D363="Western"),RAND(),"")</f>
        <v/>
      </c>
      <c r="J363" s="28">
        <f>IF(AND(ISNUMBER(SEARCH("Lunch",$C363)),$D363="Asian"),RAND(),"")</f>
        <v/>
      </c>
      <c r="K363" s="28">
        <f>IF(AND(ISNUMBER(SEARCH("Lunch",$C363)),$D363="Chinese"),RAND(),"")</f>
        <v/>
      </c>
      <c r="L363" s="28">
        <f>IF(AND(ISNUMBER(SEARCH("Lunch",$C363)),$D363="Western"),RAND(),"")</f>
        <v/>
      </c>
      <c r="M363" s="28">
        <f>IF(AND(ISNUMBER(SEARCH("Dinner",$C363)),$D363="Asian"),RAND(),"")</f>
        <v/>
      </c>
      <c r="N363" s="28">
        <f>IF(AND(ISNUMBER(SEARCH("Dinner",$C363)),$D363="Chinese"),RAND(),"")</f>
        <v/>
      </c>
      <c r="O363" s="28">
        <f>IF(AND(ISNUMBER(SEARCH("Dinner",$C363)),$D363="Western"),RAND(),"")</f>
        <v/>
      </c>
    </row>
    <row r="364" ht="15.75" customHeight="1" s="36">
      <c r="A364" s="18" t="inlineStr">
        <is>
          <t>Saba Miso</t>
        </is>
      </c>
      <c r="B364" s="18" t="inlineStr">
        <is>
          <t>—</t>
        </is>
      </c>
      <c r="C364" s="17" t="inlineStr">
        <is>
          <t>Dinner</t>
        </is>
      </c>
      <c r="D364" s="29" t="inlineStr">
        <is>
          <t>Asian</t>
        </is>
      </c>
      <c r="E364" s="17" t="inlineStr">
        <is>
          <t>High</t>
        </is>
      </c>
      <c r="F364" s="18" t="n"/>
      <c r="G364" s="27">
        <f>IF(AND(ISNUMBER(SEARCH("Breakfast",$C364)),$D364="Asian"),RAND(),"")</f>
        <v/>
      </c>
      <c r="H364" s="27">
        <f>IF(AND(ISNUMBER(SEARCH("Breakfast",$C364)),$D364="Chinese"),RAND(),"")</f>
        <v/>
      </c>
      <c r="I364" s="27">
        <f>IF(AND(ISNUMBER(SEARCH("Breakfast",$C364)),$D364="Western"),RAND(),"")</f>
        <v/>
      </c>
      <c r="J364" s="27">
        <f>IF(AND(ISNUMBER(SEARCH("Lunch",$C364)),$D364="Asian"),RAND(),"")</f>
        <v/>
      </c>
      <c r="K364" s="27">
        <f>IF(AND(ISNUMBER(SEARCH("Lunch",$C364)),$D364="Chinese"),RAND(),"")</f>
        <v/>
      </c>
      <c r="L364" s="27">
        <f>IF(AND(ISNUMBER(SEARCH("Lunch",$C364)),$D364="Western"),RAND(),"")</f>
        <v/>
      </c>
      <c r="M364" s="27">
        <f>IF(AND(ISNUMBER(SEARCH("Dinner",$C364)),$D364="Asian"),RAND(),"")</f>
        <v/>
      </c>
      <c r="N364" s="27">
        <f>IF(AND(ISNUMBER(SEARCH("Dinner",$C364)),$D364="Chinese"),RAND(),"")</f>
        <v/>
      </c>
      <c r="O364" s="27">
        <f>IF(AND(ISNUMBER(SEARCH("Dinner",$C364)),$D364="Western"),RAND(),"")</f>
        <v/>
      </c>
    </row>
    <row r="365" ht="15.75" customHeight="1" s="36">
      <c r="A365" s="22" t="inlineStr">
        <is>
          <t>Saba Shioyaki</t>
        </is>
      </c>
      <c r="B365" s="22" t="inlineStr">
        <is>
          <t>Saba Fish, Daikon, Soy sauce</t>
        </is>
      </c>
      <c r="C365" s="21" t="inlineStr">
        <is>
          <t>Dinner</t>
        </is>
      </c>
      <c r="D365" s="29" t="inlineStr">
        <is>
          <t>Asian</t>
        </is>
      </c>
      <c r="E365" s="21" t="inlineStr">
        <is>
          <t>High</t>
        </is>
      </c>
      <c r="F365" s="22" t="n"/>
      <c r="G365" s="28">
        <f>IF(AND(ISNUMBER(SEARCH("Breakfast",$C365)),$D365="Asian"),RAND(),"")</f>
        <v/>
      </c>
      <c r="H365" s="28">
        <f>IF(AND(ISNUMBER(SEARCH("Breakfast",$C365)),$D365="Chinese"),RAND(),"")</f>
        <v/>
      </c>
      <c r="I365" s="28">
        <f>IF(AND(ISNUMBER(SEARCH("Breakfast",$C365)),$D365="Western"),RAND(),"")</f>
        <v/>
      </c>
      <c r="J365" s="28">
        <f>IF(AND(ISNUMBER(SEARCH("Lunch",$C365)),$D365="Asian"),RAND(),"")</f>
        <v/>
      </c>
      <c r="K365" s="28">
        <f>IF(AND(ISNUMBER(SEARCH("Lunch",$C365)),$D365="Chinese"),RAND(),"")</f>
        <v/>
      </c>
      <c r="L365" s="28">
        <f>IF(AND(ISNUMBER(SEARCH("Lunch",$C365)),$D365="Western"),RAND(),"")</f>
        <v/>
      </c>
      <c r="M365" s="28">
        <f>IF(AND(ISNUMBER(SEARCH("Dinner",$C365)),$D365="Asian"),RAND(),"")</f>
        <v/>
      </c>
      <c r="N365" s="28">
        <f>IF(AND(ISNUMBER(SEARCH("Dinner",$C365)),$D365="Chinese"),RAND(),"")</f>
        <v/>
      </c>
      <c r="O365" s="28">
        <f>IF(AND(ISNUMBER(SEARCH("Dinner",$C365)),$D365="Western"),RAND(),"")</f>
        <v/>
      </c>
    </row>
    <row r="366" ht="15.75" customHeight="1" s="36">
      <c r="A366" s="18" t="inlineStr">
        <is>
          <t>Sake Lala</t>
        </is>
      </c>
      <c r="B366" s="18" t="inlineStr">
        <is>
          <t>Garlic, Ginger, Green Onions, Chilli, Sake, Lala clams</t>
        </is>
      </c>
      <c r="C366" s="17" t="inlineStr">
        <is>
          <t>Dinner</t>
        </is>
      </c>
      <c r="D366" s="29" t="inlineStr">
        <is>
          <t>Asian</t>
        </is>
      </c>
      <c r="E366" s="17" t="inlineStr">
        <is>
          <t>Low</t>
        </is>
      </c>
      <c r="F366" s="19" t="inlineStr">
        <is>
          <t>https://youtu.be/0w0c8bjbv8Y</t>
        </is>
      </c>
      <c r="G366" s="27">
        <f>IF(AND(ISNUMBER(SEARCH("Breakfast",$C366)),$D366="Asian"),RAND(),"")</f>
        <v/>
      </c>
      <c r="H366" s="27">
        <f>IF(AND(ISNUMBER(SEARCH("Breakfast",$C366)),$D366="Chinese"),RAND(),"")</f>
        <v/>
      </c>
      <c r="I366" s="27">
        <f>IF(AND(ISNUMBER(SEARCH("Breakfast",$C366)),$D366="Western"),RAND(),"")</f>
        <v/>
      </c>
      <c r="J366" s="27">
        <f>IF(AND(ISNUMBER(SEARCH("Lunch",$C366)),$D366="Asian"),RAND(),"")</f>
        <v/>
      </c>
      <c r="K366" s="27">
        <f>IF(AND(ISNUMBER(SEARCH("Lunch",$C366)),$D366="Chinese"),RAND(),"")</f>
        <v/>
      </c>
      <c r="L366" s="27">
        <f>IF(AND(ISNUMBER(SEARCH("Lunch",$C366)),$D366="Western"),RAND(),"")</f>
        <v/>
      </c>
      <c r="M366" s="27">
        <f>IF(AND(ISNUMBER(SEARCH("Dinner",$C366)),$D366="Asian"),RAND(),"")</f>
        <v/>
      </c>
      <c r="N366" s="27">
        <f>IF(AND(ISNUMBER(SEARCH("Dinner",$C366)),$D366="Chinese"),RAND(),"")</f>
        <v/>
      </c>
      <c r="O366" s="27">
        <f>IF(AND(ISNUMBER(SEARCH("Dinner",$C366)),$D366="Western"),RAND(),"")</f>
        <v/>
      </c>
    </row>
    <row r="367" ht="15.75" customHeight="1" s="36">
      <c r="A367" s="22" t="inlineStr">
        <is>
          <t>Salad</t>
        </is>
      </c>
      <c r="B367" s="22" t="inlineStr">
        <is>
          <t>Pumpkins, Grapes, Hazelnuts, Red Onion, Parsley, Mint, Baby Spinach, Olive oil, Curry Powder, Lime, Garlic, Apple Juice, Apple Cider Vinegar, Maple Syrup, Dijon Mustard, Pepper, Cinnamon, Purple Cabbage, Green cabbage, Carrots, Spring onion, Dill, Pistachio, Honey, Soya sauce, Sesame oil, Lemon juice</t>
        </is>
      </c>
      <c r="C367" s="21" t="inlineStr">
        <is>
          <t>Dinner</t>
        </is>
      </c>
      <c r="D367" s="30" t="inlineStr">
        <is>
          <t>Western</t>
        </is>
      </c>
      <c r="E367" s="21" t="inlineStr">
        <is>
          <t>Low</t>
        </is>
      </c>
      <c r="F367" s="23" t="inlineStr">
        <is>
          <t>https://www.kitchenstories.com/en/recipes/farro-salad-with-pumpkin-grapes-and-hazelnuts</t>
        </is>
      </c>
      <c r="G367" s="28">
        <f>IF(AND(ISNUMBER(SEARCH("Breakfast",$C367)),$D367="Asian"),RAND(),"")</f>
        <v/>
      </c>
      <c r="H367" s="28">
        <f>IF(AND(ISNUMBER(SEARCH("Breakfast",$C367)),$D367="Chinese"),RAND(),"")</f>
        <v/>
      </c>
      <c r="I367" s="28">
        <f>IF(AND(ISNUMBER(SEARCH("Breakfast",$C367)),$D367="Western"),RAND(),"")</f>
        <v/>
      </c>
      <c r="J367" s="28">
        <f>IF(AND(ISNUMBER(SEARCH("Lunch",$C367)),$D367="Asian"),RAND(),"")</f>
        <v/>
      </c>
      <c r="K367" s="28">
        <f>IF(AND(ISNUMBER(SEARCH("Lunch",$C367)),$D367="Chinese"),RAND(),"")</f>
        <v/>
      </c>
      <c r="L367" s="28">
        <f>IF(AND(ISNUMBER(SEARCH("Lunch",$C367)),$D367="Western"),RAND(),"")</f>
        <v/>
      </c>
      <c r="M367" s="28">
        <f>IF(AND(ISNUMBER(SEARCH("Dinner",$C367)),$D367="Asian"),RAND(),"")</f>
        <v/>
      </c>
      <c r="N367" s="28">
        <f>IF(AND(ISNUMBER(SEARCH("Dinner",$C367)),$D367="Chinese"),RAND(),"")</f>
        <v/>
      </c>
      <c r="O367" s="28">
        <f>IF(AND(ISNUMBER(SEARCH("Dinner",$C367)),$D367="Western"),RAND(),"")</f>
        <v/>
      </c>
    </row>
    <row r="368" ht="15.75" customHeight="1" s="36">
      <c r="A368" s="18" t="inlineStr">
        <is>
          <t>Salmon</t>
        </is>
      </c>
      <c r="B368" s="18" t="inlineStr">
        <is>
          <t>Olive oil, Garlic Powder, Paprika, Salt, Black Pepper, Small Onion, Garlic, Cous cous, Soup Broth, Cheese, Lemon, Spinach, Zuchinni, Kombu stock, Egg</t>
        </is>
      </c>
      <c r="C368" s="17" t="inlineStr">
        <is>
          <t>Dinner, Lunch</t>
        </is>
      </c>
      <c r="D368" s="33" t="inlineStr">
        <is>
          <t>Western</t>
        </is>
      </c>
      <c r="E368" s="17" t="inlineStr">
        <is>
          <t>Low</t>
        </is>
      </c>
      <c r="F368" s="19" t="inlineStr">
        <is>
          <t>https://www.instagram.com/reel/DEcyqWmP30H/?igsh=eDFpcGw5NWd3dGV0</t>
        </is>
      </c>
      <c r="G368" s="27">
        <f>IF(AND(ISNUMBER(SEARCH("Breakfast",$C368)),$D368="Asian"),RAND(),"")</f>
        <v/>
      </c>
      <c r="H368" s="27">
        <f>IF(AND(ISNUMBER(SEARCH("Breakfast",$C368)),$D368="Chinese"),RAND(),"")</f>
        <v/>
      </c>
      <c r="I368" s="27">
        <f>IF(AND(ISNUMBER(SEARCH("Breakfast",$C368)),$D368="Western"),RAND(),"")</f>
        <v/>
      </c>
      <c r="J368" s="27">
        <f>IF(AND(ISNUMBER(SEARCH("Lunch",$C368)),$D368="Asian"),RAND(),"")</f>
        <v/>
      </c>
      <c r="K368" s="27">
        <f>IF(AND(ISNUMBER(SEARCH("Lunch",$C368)),$D368="Chinese"),RAND(),"")</f>
        <v/>
      </c>
      <c r="L368" s="27">
        <f>IF(AND(ISNUMBER(SEARCH("Lunch",$C368)),$D368="Western"),RAND(),"")</f>
        <v/>
      </c>
      <c r="M368" s="27">
        <f>IF(AND(ISNUMBER(SEARCH("Dinner",$C368)),$D368="Asian"),RAND(),"")</f>
        <v/>
      </c>
      <c r="N368" s="27">
        <f>IF(AND(ISNUMBER(SEARCH("Dinner",$C368)),$D368="Chinese"),RAND(),"")</f>
        <v/>
      </c>
      <c r="O368" s="27">
        <f>IF(AND(ISNUMBER(SEARCH("Dinner",$C368)),$D368="Western"),RAND(),"")</f>
        <v/>
      </c>
    </row>
    <row r="369" ht="15.75" customHeight="1" s="36">
      <c r="A369" s="22" t="inlineStr">
        <is>
          <t>Salmon &amp; spinach</t>
        </is>
      </c>
      <c r="B369" s="22" t="inlineStr">
        <is>
          <t>—</t>
        </is>
      </c>
      <c r="C369" s="21" t="inlineStr">
        <is>
          <t>Lunch</t>
        </is>
      </c>
      <c r="D369" s="33" t="inlineStr">
        <is>
          <t>Western</t>
        </is>
      </c>
      <c r="E369" s="21" t="inlineStr">
        <is>
          <t>Low</t>
        </is>
      </c>
      <c r="F369" s="22" t="n"/>
      <c r="G369" s="28">
        <f>IF(AND(ISNUMBER(SEARCH("Breakfast",$C369)),$D369="Asian"),RAND(),"")</f>
        <v/>
      </c>
      <c r="H369" s="28">
        <f>IF(AND(ISNUMBER(SEARCH("Breakfast",$C369)),$D369="Chinese"),RAND(),"")</f>
        <v/>
      </c>
      <c r="I369" s="28">
        <f>IF(AND(ISNUMBER(SEARCH("Breakfast",$C369)),$D369="Western"),RAND(),"")</f>
        <v/>
      </c>
      <c r="J369" s="28">
        <f>IF(AND(ISNUMBER(SEARCH("Lunch",$C369)),$D369="Asian"),RAND(),"")</f>
        <v/>
      </c>
      <c r="K369" s="28">
        <f>IF(AND(ISNUMBER(SEARCH("Lunch",$C369)),$D369="Chinese"),RAND(),"")</f>
        <v/>
      </c>
      <c r="L369" s="28">
        <f>IF(AND(ISNUMBER(SEARCH("Lunch",$C369)),$D369="Western"),RAND(),"")</f>
        <v/>
      </c>
      <c r="M369" s="28">
        <f>IF(AND(ISNUMBER(SEARCH("Dinner",$C369)),$D369="Asian"),RAND(),"")</f>
        <v/>
      </c>
      <c r="N369" s="28">
        <f>IF(AND(ISNUMBER(SEARCH("Dinner",$C369)),$D369="Chinese"),RAND(),"")</f>
        <v/>
      </c>
      <c r="O369" s="28">
        <f>IF(AND(ISNUMBER(SEARCH("Dinner",$C369)),$D369="Western"),RAND(),"")</f>
        <v/>
      </c>
    </row>
    <row r="370" ht="15.75" customHeight="1" s="36">
      <c r="A370" s="18" t="inlineStr">
        <is>
          <t>Salmon &amp; Vege</t>
        </is>
      </c>
      <c r="B370" s="18" t="inlineStr">
        <is>
          <t>Salmon, Red bell peppers, Zucchini, Onion, Leak, Lemon, Almond, Mint leaves, Garlic, Rosemary, Thyme</t>
        </is>
      </c>
      <c r="C370" s="17" t="inlineStr">
        <is>
          <t>Lunch</t>
        </is>
      </c>
      <c r="D370" s="33" t="inlineStr">
        <is>
          <t>Western</t>
        </is>
      </c>
      <c r="E370" s="17" t="inlineStr">
        <is>
          <t>Low</t>
        </is>
      </c>
      <c r="F370" s="18" t="n"/>
      <c r="G370" s="27">
        <f>IF(AND(ISNUMBER(SEARCH("Breakfast",$C370)),$D370="Asian"),RAND(),"")</f>
        <v/>
      </c>
      <c r="H370" s="27">
        <f>IF(AND(ISNUMBER(SEARCH("Breakfast",$C370)),$D370="Chinese"),RAND(),"")</f>
        <v/>
      </c>
      <c r="I370" s="27">
        <f>IF(AND(ISNUMBER(SEARCH("Breakfast",$C370)),$D370="Western"),RAND(),"")</f>
        <v/>
      </c>
      <c r="J370" s="27">
        <f>IF(AND(ISNUMBER(SEARCH("Lunch",$C370)),$D370="Asian"),RAND(),"")</f>
        <v/>
      </c>
      <c r="K370" s="27">
        <f>IF(AND(ISNUMBER(SEARCH("Lunch",$C370)),$D370="Chinese"),RAND(),"")</f>
        <v/>
      </c>
      <c r="L370" s="27">
        <f>IF(AND(ISNUMBER(SEARCH("Lunch",$C370)),$D370="Western"),RAND(),"")</f>
        <v/>
      </c>
      <c r="M370" s="27">
        <f>IF(AND(ISNUMBER(SEARCH("Dinner",$C370)),$D370="Asian"),RAND(),"")</f>
        <v/>
      </c>
      <c r="N370" s="27">
        <f>IF(AND(ISNUMBER(SEARCH("Dinner",$C370)),$D370="Chinese"),RAND(),"")</f>
        <v/>
      </c>
      <c r="O370" s="27">
        <f>IF(AND(ISNUMBER(SEARCH("Dinner",$C370)),$D370="Western"),RAND(),"")</f>
        <v/>
      </c>
    </row>
    <row r="371" ht="15.75" customHeight="1" s="36">
      <c r="A371" s="22" t="inlineStr">
        <is>
          <t>Salmon Lemon Couscous</t>
        </is>
      </c>
      <c r="B371" s="22" t="inlineStr">
        <is>
          <t>—</t>
        </is>
      </c>
      <c r="C371" s="21" t="inlineStr">
        <is>
          <t>Dinner</t>
        </is>
      </c>
      <c r="D371" s="30" t="inlineStr">
        <is>
          <t>Western</t>
        </is>
      </c>
      <c r="E371" s="21" t="inlineStr">
        <is>
          <t>Med</t>
        </is>
      </c>
      <c r="F371" s="22" t="n"/>
      <c r="G371" s="28">
        <f>IF(AND(ISNUMBER(SEARCH("Breakfast",$C371)),$D371="Asian"),RAND(),"")</f>
        <v/>
      </c>
      <c r="H371" s="28">
        <f>IF(AND(ISNUMBER(SEARCH("Breakfast",$C371)),$D371="Chinese"),RAND(),"")</f>
        <v/>
      </c>
      <c r="I371" s="28">
        <f>IF(AND(ISNUMBER(SEARCH("Breakfast",$C371)),$D371="Western"),RAND(),"")</f>
        <v/>
      </c>
      <c r="J371" s="28">
        <f>IF(AND(ISNUMBER(SEARCH("Lunch",$C371)),$D371="Asian"),RAND(),"")</f>
        <v/>
      </c>
      <c r="K371" s="28">
        <f>IF(AND(ISNUMBER(SEARCH("Lunch",$C371)),$D371="Chinese"),RAND(),"")</f>
        <v/>
      </c>
      <c r="L371" s="28">
        <f>IF(AND(ISNUMBER(SEARCH("Lunch",$C371)),$D371="Western"),RAND(),"")</f>
        <v/>
      </c>
      <c r="M371" s="28">
        <f>IF(AND(ISNUMBER(SEARCH("Dinner",$C371)),$D371="Asian"),RAND(),"")</f>
        <v/>
      </c>
      <c r="N371" s="28">
        <f>IF(AND(ISNUMBER(SEARCH("Dinner",$C371)),$D371="Chinese"),RAND(),"")</f>
        <v/>
      </c>
      <c r="O371" s="28">
        <f>IF(AND(ISNUMBER(SEARCH("Dinner",$C371)),$D371="Western"),RAND(),"")</f>
        <v/>
      </c>
    </row>
    <row r="372" ht="15.75" customHeight="1" s="36">
      <c r="A372" s="18" t="inlineStr">
        <is>
          <t>Salmon Ochasuke</t>
        </is>
      </c>
      <c r="B372" s="18" t="inlineStr">
        <is>
          <t>Salmon, Eggs, Rice, Furikake, Green Tea, Dashi</t>
        </is>
      </c>
      <c r="C372" s="17" t="inlineStr">
        <is>
          <t>Lunch</t>
        </is>
      </c>
      <c r="D372" s="29" t="inlineStr">
        <is>
          <t>Asian</t>
        </is>
      </c>
      <c r="E372" s="17" t="inlineStr">
        <is>
          <t>High</t>
        </is>
      </c>
      <c r="F372" s="19" t="inlineStr">
        <is>
          <t>https://www.instagram.com/reel/DDueXo5PiUD/?utm_source=ig_web_copy_link</t>
        </is>
      </c>
      <c r="G372" s="27">
        <f>IF(AND(ISNUMBER(SEARCH("Breakfast",$C372)),$D372="Asian"),RAND(),"")</f>
        <v/>
      </c>
      <c r="H372" s="27">
        <f>IF(AND(ISNUMBER(SEARCH("Breakfast",$C372)),$D372="Chinese"),RAND(),"")</f>
        <v/>
      </c>
      <c r="I372" s="27">
        <f>IF(AND(ISNUMBER(SEARCH("Breakfast",$C372)),$D372="Western"),RAND(),"")</f>
        <v/>
      </c>
      <c r="J372" s="27">
        <f>IF(AND(ISNUMBER(SEARCH("Lunch",$C372)),$D372="Asian"),RAND(),"")</f>
        <v/>
      </c>
      <c r="K372" s="27">
        <f>IF(AND(ISNUMBER(SEARCH("Lunch",$C372)),$D372="Chinese"),RAND(),"")</f>
        <v/>
      </c>
      <c r="L372" s="27">
        <f>IF(AND(ISNUMBER(SEARCH("Lunch",$C372)),$D372="Western"),RAND(),"")</f>
        <v/>
      </c>
      <c r="M372" s="27">
        <f>IF(AND(ISNUMBER(SEARCH("Dinner",$C372)),$D372="Asian"),RAND(),"")</f>
        <v/>
      </c>
      <c r="N372" s="27">
        <f>IF(AND(ISNUMBER(SEARCH("Dinner",$C372)),$D372="Chinese"),RAND(),"")</f>
        <v/>
      </c>
      <c r="O372" s="27">
        <f>IF(AND(ISNUMBER(SEARCH("Dinner",$C372)),$D372="Western"),RAND(),"")</f>
        <v/>
      </c>
    </row>
    <row r="373" ht="15.75" customHeight="1" s="36">
      <c r="A373" s="22" t="inlineStr">
        <is>
          <t>Salmon Soup</t>
        </is>
      </c>
      <c r="B373" s="22" t="inlineStr">
        <is>
          <t>Salmon, Leek, Carrot, Cream, Fish Broth, Dill, Lemon, Corn Starch</t>
        </is>
      </c>
      <c r="C373" s="21" t="inlineStr">
        <is>
          <t>Lunch</t>
        </is>
      </c>
      <c r="D373" s="33" t="inlineStr">
        <is>
          <t>Western</t>
        </is>
      </c>
      <c r="E373" s="21" t="inlineStr">
        <is>
          <t>Low</t>
        </is>
      </c>
      <c r="F373" s="23" t="inlineStr">
        <is>
          <t>https://www.instagram.com/reel/DCjpO8UM405/?igsh=MWdvZGg2cWR5bWp5Mw==</t>
        </is>
      </c>
      <c r="G373" s="28">
        <f>IF(AND(ISNUMBER(SEARCH("Breakfast",$C373)),$D373="Asian"),RAND(),"")</f>
        <v/>
      </c>
      <c r="H373" s="28">
        <f>IF(AND(ISNUMBER(SEARCH("Breakfast",$C373)),$D373="Chinese"),RAND(),"")</f>
        <v/>
      </c>
      <c r="I373" s="28">
        <f>IF(AND(ISNUMBER(SEARCH("Breakfast",$C373)),$D373="Western"),RAND(),"")</f>
        <v/>
      </c>
      <c r="J373" s="28">
        <f>IF(AND(ISNUMBER(SEARCH("Lunch",$C373)),$D373="Asian"),RAND(),"")</f>
        <v/>
      </c>
      <c r="K373" s="28">
        <f>IF(AND(ISNUMBER(SEARCH("Lunch",$C373)),$D373="Chinese"),RAND(),"")</f>
        <v/>
      </c>
      <c r="L373" s="28">
        <f>IF(AND(ISNUMBER(SEARCH("Lunch",$C373)),$D373="Western"),RAND(),"")</f>
        <v/>
      </c>
      <c r="M373" s="28">
        <f>IF(AND(ISNUMBER(SEARCH("Dinner",$C373)),$D373="Asian"),RAND(),"")</f>
        <v/>
      </c>
      <c r="N373" s="28">
        <f>IF(AND(ISNUMBER(SEARCH("Dinner",$C373)),$D373="Chinese"),RAND(),"")</f>
        <v/>
      </c>
      <c r="O373" s="28">
        <f>IF(AND(ISNUMBER(SEARCH("Dinner",$C373)),$D373="Western"),RAND(),"")</f>
        <v/>
      </c>
      <c r="P373" s="0" t="b">
        <v>1</v>
      </c>
    </row>
    <row r="374" ht="15.75" customHeight="1" s="36">
      <c r="A374" s="18" t="inlineStr">
        <is>
          <t>Salmon with White Wine Mayo</t>
        </is>
      </c>
      <c r="B374" s="18" t="inlineStr">
        <is>
          <t>Salmon, Onion, Butter, White Wine, Coriander</t>
        </is>
      </c>
      <c r="C374" s="17" t="inlineStr">
        <is>
          <t>Dinner</t>
        </is>
      </c>
      <c r="D374" s="33" t="inlineStr">
        <is>
          <t>Western</t>
        </is>
      </c>
      <c r="E374" s="17" t="inlineStr">
        <is>
          <t>Low</t>
        </is>
      </c>
      <c r="F374" s="19" t="inlineStr">
        <is>
          <t>https://icook.tw/recipes/414152?utm_source=copy&amp;utm_medium=sharev3&amp;utm_campaign=recipe-share</t>
        </is>
      </c>
      <c r="G374" s="27">
        <f>IF(AND(ISNUMBER(SEARCH("Breakfast",$C374)),$D374="Asian"),RAND(),"")</f>
        <v/>
      </c>
      <c r="H374" s="27">
        <f>IF(AND(ISNUMBER(SEARCH("Breakfast",$C374)),$D374="Chinese"),RAND(),"")</f>
        <v/>
      </c>
      <c r="I374" s="27">
        <f>IF(AND(ISNUMBER(SEARCH("Breakfast",$C374)),$D374="Western"),RAND(),"")</f>
        <v/>
      </c>
      <c r="J374" s="27">
        <f>IF(AND(ISNUMBER(SEARCH("Lunch",$C374)),$D374="Asian"),RAND(),"")</f>
        <v/>
      </c>
      <c r="K374" s="27">
        <f>IF(AND(ISNUMBER(SEARCH("Lunch",$C374)),$D374="Chinese"),RAND(),"")</f>
        <v/>
      </c>
      <c r="L374" s="27">
        <f>IF(AND(ISNUMBER(SEARCH("Lunch",$C374)),$D374="Western"),RAND(),"")</f>
        <v/>
      </c>
      <c r="M374" s="27">
        <f>IF(AND(ISNUMBER(SEARCH("Dinner",$C374)),$D374="Asian"),RAND(),"")</f>
        <v/>
      </c>
      <c r="N374" s="27">
        <f>IF(AND(ISNUMBER(SEARCH("Dinner",$C374)),$D374="Chinese"),RAND(),"")</f>
        <v/>
      </c>
      <c r="O374" s="27">
        <f>IF(AND(ISNUMBER(SEARCH("Dinner",$C374)),$D374="Western"),RAND(),"")</f>
        <v/>
      </c>
    </row>
    <row r="375" ht="15.75" customHeight="1" s="36">
      <c r="A375" s="22" t="inlineStr">
        <is>
          <t>Salt baked chicken</t>
        </is>
      </c>
      <c r="B375" s="22" t="inlineStr">
        <is>
          <t>Chicken, sesame oil, Salt, Parchment paper, dang gui, ginger, Wolfsberry</t>
        </is>
      </c>
      <c r="C375" s="21" t="inlineStr">
        <is>
          <t>Dinner</t>
        </is>
      </c>
      <c r="D375" s="26" t="inlineStr">
        <is>
          <t>Chinese</t>
        </is>
      </c>
      <c r="E375" s="21" t="inlineStr">
        <is>
          <t>Med</t>
        </is>
      </c>
      <c r="F375" s="23" t="inlineStr">
        <is>
          <t>https://www.instagram.com/reel/CvW2_ZzpYkp/?igsh=MzRlODBiNWFlZA==</t>
        </is>
      </c>
      <c r="G375" s="28">
        <f>IF(AND(ISNUMBER(SEARCH("Breakfast",$C375)),$D375="Asian"),RAND(),"")</f>
        <v/>
      </c>
      <c r="H375" s="28">
        <f>IF(AND(ISNUMBER(SEARCH("Breakfast",$C375)),$D375="Chinese"),RAND(),"")</f>
        <v/>
      </c>
      <c r="I375" s="28">
        <f>IF(AND(ISNUMBER(SEARCH("Breakfast",$C375)),$D375="Western"),RAND(),"")</f>
        <v/>
      </c>
      <c r="J375" s="28">
        <f>IF(AND(ISNUMBER(SEARCH("Lunch",$C375)),$D375="Asian"),RAND(),"")</f>
        <v/>
      </c>
      <c r="K375" s="28">
        <f>IF(AND(ISNUMBER(SEARCH("Lunch",$C375)),$D375="Chinese"),RAND(),"")</f>
        <v/>
      </c>
      <c r="L375" s="28">
        <f>IF(AND(ISNUMBER(SEARCH("Lunch",$C375)),$D375="Western"),RAND(),"")</f>
        <v/>
      </c>
      <c r="M375" s="28">
        <f>IF(AND(ISNUMBER(SEARCH("Dinner",$C375)),$D375="Asian"),RAND(),"")</f>
        <v/>
      </c>
      <c r="N375" s="28">
        <f>IF(AND(ISNUMBER(SEARCH("Dinner",$C375)),$D375="Chinese"),RAND(),"")</f>
        <v/>
      </c>
      <c r="O375" s="28">
        <f>IF(AND(ISNUMBER(SEARCH("Dinner",$C375)),$D375="Western"),RAND(),"")</f>
        <v/>
      </c>
    </row>
    <row r="376" ht="15.75" customHeight="1" s="36">
      <c r="A376" s="18" t="inlineStr">
        <is>
          <t>Salted Bitter Gourd</t>
        </is>
      </c>
      <c r="B376" s="18" t="inlineStr">
        <is>
          <t>Bitter Gourd, Salted Egg, Garlic, Spring Onion</t>
        </is>
      </c>
      <c r="C376" s="17" t="inlineStr">
        <is>
          <t>Dinner</t>
        </is>
      </c>
      <c r="D376" s="26" t="inlineStr">
        <is>
          <t>Chinese</t>
        </is>
      </c>
      <c r="E376" s="17" t="inlineStr">
        <is>
          <t>Med</t>
        </is>
      </c>
      <c r="F376" s="19" t="inlineStr">
        <is>
          <t>https://icook.tw/recipes/400355?utm_source=copy&amp;utm_medium=sharev3&amp;utm_campaign=recipe-share</t>
        </is>
      </c>
      <c r="G376" s="27">
        <f>IF(AND(ISNUMBER(SEARCH("Breakfast",$C376)),$D376="Asian"),RAND(),"")</f>
        <v/>
      </c>
      <c r="H376" s="27">
        <f>IF(AND(ISNUMBER(SEARCH("Breakfast",$C376)),$D376="Chinese"),RAND(),"")</f>
        <v/>
      </c>
      <c r="I376" s="27">
        <f>IF(AND(ISNUMBER(SEARCH("Breakfast",$C376)),$D376="Western"),RAND(),"")</f>
        <v/>
      </c>
      <c r="J376" s="27">
        <f>IF(AND(ISNUMBER(SEARCH("Lunch",$C376)),$D376="Asian"),RAND(),"")</f>
        <v/>
      </c>
      <c r="K376" s="27">
        <f>IF(AND(ISNUMBER(SEARCH("Lunch",$C376)),$D376="Chinese"),RAND(),"")</f>
        <v/>
      </c>
      <c r="L376" s="27">
        <f>IF(AND(ISNUMBER(SEARCH("Lunch",$C376)),$D376="Western"),RAND(),"")</f>
        <v/>
      </c>
      <c r="M376" s="27">
        <f>IF(AND(ISNUMBER(SEARCH("Dinner",$C376)),$D376="Asian"),RAND(),"")</f>
        <v/>
      </c>
      <c r="N376" s="27">
        <f>IF(AND(ISNUMBER(SEARCH("Dinner",$C376)),$D376="Chinese"),RAND(),"")</f>
        <v/>
      </c>
      <c r="O376" s="27">
        <f>IF(AND(ISNUMBER(SEARCH("Dinner",$C376)),$D376="Western"),RAND(),"")</f>
        <v/>
      </c>
    </row>
    <row r="377" ht="15.75" customHeight="1" s="36">
      <c r="A377" s="22" t="inlineStr">
        <is>
          <t>Salted Duck Soup</t>
        </is>
      </c>
      <c r="B377" s="22" t="inlineStr">
        <is>
          <t>Duck Legs x3, 500g Pork Ribs, Pickled Mustard Vegtable, 6 plums, Assam skin, Tomato, Ginger, Shaoxing Wine, 亚叁皮 Assam Skin</t>
        </is>
      </c>
      <c r="C377" s="21" t="inlineStr">
        <is>
          <t>Dinner</t>
        </is>
      </c>
      <c r="D377" s="29" t="inlineStr">
        <is>
          <t>Asian</t>
        </is>
      </c>
      <c r="E377" s="21" t="inlineStr">
        <is>
          <t>Low</t>
        </is>
      </c>
      <c r="F377" s="23" t="inlineStr">
        <is>
          <t>https://youtu.be/QYJS2II_CJA</t>
        </is>
      </c>
      <c r="G377" s="28">
        <f>IF(AND(ISNUMBER(SEARCH("Breakfast",$C377)),$D377="Asian"),RAND(),"")</f>
        <v/>
      </c>
      <c r="H377" s="28">
        <f>IF(AND(ISNUMBER(SEARCH("Breakfast",$C377)),$D377="Chinese"),RAND(),"")</f>
        <v/>
      </c>
      <c r="I377" s="28">
        <f>IF(AND(ISNUMBER(SEARCH("Breakfast",$C377)),$D377="Western"),RAND(),"")</f>
        <v/>
      </c>
      <c r="J377" s="28">
        <f>IF(AND(ISNUMBER(SEARCH("Lunch",$C377)),$D377="Asian"),RAND(),"")</f>
        <v/>
      </c>
      <c r="K377" s="28">
        <f>IF(AND(ISNUMBER(SEARCH("Lunch",$C377)),$D377="Chinese"),RAND(),"")</f>
        <v/>
      </c>
      <c r="L377" s="28">
        <f>IF(AND(ISNUMBER(SEARCH("Lunch",$C377)),$D377="Western"),RAND(),"")</f>
        <v/>
      </c>
      <c r="M377" s="28">
        <f>IF(AND(ISNUMBER(SEARCH("Dinner",$C377)),$D377="Asian"),RAND(),"")</f>
        <v/>
      </c>
      <c r="N377" s="28">
        <f>IF(AND(ISNUMBER(SEARCH("Dinner",$C377)),$D377="Chinese"),RAND(),"")</f>
        <v/>
      </c>
      <c r="O377" s="28">
        <f>IF(AND(ISNUMBER(SEARCH("Dinner",$C377)),$D377="Western"),RAND(),"")</f>
        <v/>
      </c>
      <c r="P377" s="0" t="b">
        <v>1</v>
      </c>
    </row>
    <row r="378" ht="15.75" customHeight="1" s="36">
      <c r="A378" s="18" t="inlineStr">
        <is>
          <t>Salted Egg Chicken</t>
        </is>
      </c>
      <c r="B378" s="18" t="inlineStr">
        <is>
          <t>Salted Egg, Chicken Thigh, Potato Starch, Soy Sauce, Rice Wine, Butter, Evaporated Milk, Curry Leaves</t>
        </is>
      </c>
      <c r="C378" s="17" t="inlineStr">
        <is>
          <t>Dinner</t>
        </is>
      </c>
      <c r="D378" s="29" t="inlineStr">
        <is>
          <t>Asian</t>
        </is>
      </c>
      <c r="E378" s="17" t="inlineStr">
        <is>
          <t>Low</t>
        </is>
      </c>
      <c r="F378" s="19" t="inlineStr">
        <is>
          <t>https://www.instagram.com/reel/DGP6R7wT7kd/?igsh=a2hsdG92OGhnc3F0</t>
        </is>
      </c>
      <c r="G378" s="27">
        <f>IF(AND(ISNUMBER(SEARCH("Breakfast",$C378)),$D378="Asian"),RAND(),"")</f>
        <v/>
      </c>
      <c r="H378" s="27">
        <f>IF(AND(ISNUMBER(SEARCH("Breakfast",$C378)),$D378="Chinese"),RAND(),"")</f>
        <v/>
      </c>
      <c r="I378" s="27">
        <f>IF(AND(ISNUMBER(SEARCH("Breakfast",$C378)),$D378="Western"),RAND(),"")</f>
        <v/>
      </c>
      <c r="J378" s="27">
        <f>IF(AND(ISNUMBER(SEARCH("Lunch",$C378)),$D378="Asian"),RAND(),"")</f>
        <v/>
      </c>
      <c r="K378" s="27">
        <f>IF(AND(ISNUMBER(SEARCH("Lunch",$C378)),$D378="Chinese"),RAND(),"")</f>
        <v/>
      </c>
      <c r="L378" s="27">
        <f>IF(AND(ISNUMBER(SEARCH("Lunch",$C378)),$D378="Western"),RAND(),"")</f>
        <v/>
      </c>
      <c r="M378" s="27">
        <f>IF(AND(ISNUMBER(SEARCH("Dinner",$C378)),$D378="Asian"),RAND(),"")</f>
        <v/>
      </c>
      <c r="N378" s="27">
        <f>IF(AND(ISNUMBER(SEARCH("Dinner",$C378)),$D378="Chinese"),RAND(),"")</f>
        <v/>
      </c>
      <c r="O378" s="27">
        <f>IF(AND(ISNUMBER(SEARCH("Dinner",$C378)),$D378="Western"),RAND(),"")</f>
        <v/>
      </c>
    </row>
    <row r="379" ht="15.75" customHeight="1" s="36">
      <c r="A379" s="22" t="inlineStr">
        <is>
          <t>Salted egg yolk corn</t>
        </is>
      </c>
      <c r="B379" s="22" t="inlineStr">
        <is>
          <t>Corn, Salted Egg</t>
        </is>
      </c>
      <c r="C379" s="21" t="inlineStr">
        <is>
          <t>Dinner</t>
        </is>
      </c>
      <c r="D379" s="26" t="inlineStr">
        <is>
          <t>Chinese</t>
        </is>
      </c>
      <c r="E379" s="21" t="inlineStr">
        <is>
          <t>Med</t>
        </is>
      </c>
      <c r="F379" s="23" t="inlineStr">
        <is>
          <t>https://www.instagram.com/reel/DKlQB1HTtzq/?igsh=ZXl2eTNjNmpsbGty</t>
        </is>
      </c>
      <c r="G379" s="28">
        <f>IF(AND(ISNUMBER(SEARCH("Breakfast",$C379)),$D379="Asian"),RAND(),"")</f>
        <v/>
      </c>
      <c r="H379" s="28">
        <f>IF(AND(ISNUMBER(SEARCH("Breakfast",$C379)),$D379="Chinese"),RAND(),"")</f>
        <v/>
      </c>
      <c r="I379" s="28">
        <f>IF(AND(ISNUMBER(SEARCH("Breakfast",$C379)),$D379="Western"),RAND(),"")</f>
        <v/>
      </c>
      <c r="J379" s="28">
        <f>IF(AND(ISNUMBER(SEARCH("Lunch",$C379)),$D379="Asian"),RAND(),"")</f>
        <v/>
      </c>
      <c r="K379" s="28">
        <f>IF(AND(ISNUMBER(SEARCH("Lunch",$C379)),$D379="Chinese"),RAND(),"")</f>
        <v/>
      </c>
      <c r="L379" s="28">
        <f>IF(AND(ISNUMBER(SEARCH("Lunch",$C379)),$D379="Western"),RAND(),"")</f>
        <v/>
      </c>
      <c r="M379" s="28">
        <f>IF(AND(ISNUMBER(SEARCH("Dinner",$C379)),$D379="Asian"),RAND(),"")</f>
        <v/>
      </c>
      <c r="N379" s="28">
        <f>IF(AND(ISNUMBER(SEARCH("Dinner",$C379)),$D379="Chinese"),RAND(),"")</f>
        <v/>
      </c>
      <c r="O379" s="28">
        <f>IF(AND(ISNUMBER(SEARCH("Dinner",$C379)),$D379="Western"),RAND(),"")</f>
        <v/>
      </c>
    </row>
    <row r="380" ht="15.75" customHeight="1" s="36">
      <c r="A380" s="18" t="inlineStr">
        <is>
          <t>Salted Egg Yolk Si Gua</t>
        </is>
      </c>
      <c r="B380" s="18" t="inlineStr">
        <is>
          <t>Salted Egg Yolk, Garlic, Si Gua</t>
        </is>
      </c>
      <c r="C380" s="17" t="inlineStr">
        <is>
          <t>Dinner</t>
        </is>
      </c>
      <c r="D380" s="26" t="inlineStr">
        <is>
          <t>Chinese</t>
        </is>
      </c>
      <c r="E380" s="17" t="inlineStr">
        <is>
          <t>Med</t>
        </is>
      </c>
      <c r="F380" s="19" t="inlineStr">
        <is>
          <t>https://www.instagram.com/reel/DQ9Zj_MCYUL/?igsh=OWUycmsxN29qbDN1</t>
        </is>
      </c>
      <c r="G380" s="27">
        <f>IF(AND(ISNUMBER(SEARCH("Breakfast",$C380)),$D380="Asian"),RAND(),"")</f>
        <v/>
      </c>
      <c r="H380" s="27">
        <f>IF(AND(ISNUMBER(SEARCH("Breakfast",$C380)),$D380="Chinese"),RAND(),"")</f>
        <v/>
      </c>
      <c r="I380" s="27">
        <f>IF(AND(ISNUMBER(SEARCH("Breakfast",$C380)),$D380="Western"),RAND(),"")</f>
        <v/>
      </c>
      <c r="J380" s="27">
        <f>IF(AND(ISNUMBER(SEARCH("Lunch",$C380)),$D380="Asian"),RAND(),"")</f>
        <v/>
      </c>
      <c r="K380" s="27">
        <f>IF(AND(ISNUMBER(SEARCH("Lunch",$C380)),$D380="Chinese"),RAND(),"")</f>
        <v/>
      </c>
      <c r="L380" s="27">
        <f>IF(AND(ISNUMBER(SEARCH("Lunch",$C380)),$D380="Western"),RAND(),"")</f>
        <v/>
      </c>
      <c r="M380" s="27">
        <f>IF(AND(ISNUMBER(SEARCH("Dinner",$C380)),$D380="Asian"),RAND(),"")</f>
        <v/>
      </c>
      <c r="N380" s="27">
        <f>IF(AND(ISNUMBER(SEARCH("Dinner",$C380)),$D380="Chinese"),RAND(),"")</f>
        <v/>
      </c>
      <c r="O380" s="27">
        <f>IF(AND(ISNUMBER(SEARCH("Dinner",$C380)),$D380="Western"),RAND(),"")</f>
        <v/>
      </c>
    </row>
    <row r="381" ht="15.75" customHeight="1" s="36">
      <c r="A381" s="22" t="inlineStr">
        <is>
          <t>Salted Panfry Zucchini</t>
        </is>
      </c>
      <c r="B381" s="22" t="inlineStr">
        <is>
          <t>Zucchini, Salt, White Pepper, Olive Oil</t>
        </is>
      </c>
      <c r="C381" s="21" t="inlineStr">
        <is>
          <t>Dinner</t>
        </is>
      </c>
      <c r="D381" s="33" t="inlineStr">
        <is>
          <t>Western</t>
        </is>
      </c>
      <c r="E381" s="21" t="inlineStr">
        <is>
          <t>Low</t>
        </is>
      </c>
      <c r="F381" s="23" t="inlineStr">
        <is>
          <t>https://www.instagram.com/reel/C7mDIVAP2wi/?igsh=MXNiNjR2aWtqaXRudg==</t>
        </is>
      </c>
      <c r="G381" s="28">
        <f>IF(AND(ISNUMBER(SEARCH("Breakfast",$C381)),$D381="Asian"),RAND(),"")</f>
        <v/>
      </c>
      <c r="H381" s="28">
        <f>IF(AND(ISNUMBER(SEARCH("Breakfast",$C381)),$D381="Chinese"),RAND(),"")</f>
        <v/>
      </c>
      <c r="I381" s="28">
        <f>IF(AND(ISNUMBER(SEARCH("Breakfast",$C381)),$D381="Western"),RAND(),"")</f>
        <v/>
      </c>
      <c r="J381" s="28">
        <f>IF(AND(ISNUMBER(SEARCH("Lunch",$C381)),$D381="Asian"),RAND(),"")</f>
        <v/>
      </c>
      <c r="K381" s="28">
        <f>IF(AND(ISNUMBER(SEARCH("Lunch",$C381)),$D381="Chinese"),RAND(),"")</f>
        <v/>
      </c>
      <c r="L381" s="28">
        <f>IF(AND(ISNUMBER(SEARCH("Lunch",$C381)),$D381="Western"),RAND(),"")</f>
        <v/>
      </c>
      <c r="M381" s="28">
        <f>IF(AND(ISNUMBER(SEARCH("Dinner",$C381)),$D381="Asian"),RAND(),"")</f>
        <v/>
      </c>
      <c r="N381" s="28">
        <f>IF(AND(ISNUMBER(SEARCH("Dinner",$C381)),$D381="Chinese"),RAND(),"")</f>
        <v/>
      </c>
      <c r="O381" s="28">
        <f>IF(AND(ISNUMBER(SEARCH("Dinner",$C381)),$D381="Western"),RAND(),"")</f>
        <v/>
      </c>
    </row>
    <row r="382" ht="15.75" customHeight="1" s="36">
      <c r="A382" s="18" t="inlineStr">
        <is>
          <t>Salted Vege</t>
        </is>
      </c>
      <c r="B382" s="31" t="inlineStr">
        <is>
          <t>咸菜, Garlic, 咸水梅, 猪油渣</t>
        </is>
      </c>
      <c r="C382" s="17" t="inlineStr">
        <is>
          <t>Dinner</t>
        </is>
      </c>
      <c r="D382" s="26" t="inlineStr">
        <is>
          <t>Chinese</t>
        </is>
      </c>
      <c r="E382" s="17" t="inlineStr">
        <is>
          <t>High</t>
        </is>
      </c>
      <c r="F382" s="19" t="inlineStr">
        <is>
          <t>https://youtu.be/We85_M901hw</t>
        </is>
      </c>
      <c r="G382" s="27">
        <f>IF(AND(ISNUMBER(SEARCH("Breakfast",$C382)),$D382="Asian"),RAND(),"")</f>
        <v/>
      </c>
      <c r="H382" s="27">
        <f>IF(AND(ISNUMBER(SEARCH("Breakfast",$C382)),$D382="Chinese"),RAND(),"")</f>
        <v/>
      </c>
      <c r="I382" s="27">
        <f>IF(AND(ISNUMBER(SEARCH("Breakfast",$C382)),$D382="Western"),RAND(),"")</f>
        <v/>
      </c>
      <c r="J382" s="27">
        <f>IF(AND(ISNUMBER(SEARCH("Lunch",$C382)),$D382="Asian"),RAND(),"")</f>
        <v/>
      </c>
      <c r="K382" s="27">
        <f>IF(AND(ISNUMBER(SEARCH("Lunch",$C382)),$D382="Chinese"),RAND(),"")</f>
        <v/>
      </c>
      <c r="L382" s="27">
        <f>IF(AND(ISNUMBER(SEARCH("Lunch",$C382)),$D382="Western"),RAND(),"")</f>
        <v/>
      </c>
      <c r="M382" s="27">
        <f>IF(AND(ISNUMBER(SEARCH("Dinner",$C382)),$D382="Asian"),RAND(),"")</f>
        <v/>
      </c>
      <c r="N382" s="27">
        <f>IF(AND(ISNUMBER(SEARCH("Dinner",$C382)),$D382="Chinese"),RAND(),"")</f>
        <v/>
      </c>
      <c r="O382" s="27">
        <f>IF(AND(ISNUMBER(SEARCH("Dinner",$C382)),$D382="Western"),RAND(),"")</f>
        <v/>
      </c>
    </row>
    <row r="383" ht="15.75" customHeight="1" s="36">
      <c r="A383" s="22" t="inlineStr">
        <is>
          <t>Sambal Squid and Lady Finger</t>
        </is>
      </c>
      <c r="B383" s="22" t="inlineStr">
        <is>
          <t>Squid, Oil, Sambal, Calamansi, Lady Finger</t>
        </is>
      </c>
      <c r="C383" s="21" t="inlineStr">
        <is>
          <t>Dinner</t>
        </is>
      </c>
      <c r="D383" s="29" t="inlineStr">
        <is>
          <t>Asian</t>
        </is>
      </c>
      <c r="E383" s="21" t="inlineStr">
        <is>
          <t>Med</t>
        </is>
      </c>
      <c r="F383" s="23" t="inlineStr">
        <is>
          <t>https://www.instagram.com/reel/DBzoh50t8dd/?igsh=ZmUwZTVndTBhaHZt</t>
        </is>
      </c>
      <c r="G383" s="28">
        <f>IF(AND(ISNUMBER(SEARCH("Breakfast",$C383)),$D383="Asian"),RAND(),"")</f>
        <v/>
      </c>
      <c r="H383" s="28">
        <f>IF(AND(ISNUMBER(SEARCH("Breakfast",$C383)),$D383="Chinese"),RAND(),"")</f>
        <v/>
      </c>
      <c r="I383" s="28">
        <f>IF(AND(ISNUMBER(SEARCH("Breakfast",$C383)),$D383="Western"),RAND(),"")</f>
        <v/>
      </c>
      <c r="J383" s="28">
        <f>IF(AND(ISNUMBER(SEARCH("Lunch",$C383)),$D383="Asian"),RAND(),"")</f>
        <v/>
      </c>
      <c r="K383" s="28">
        <f>IF(AND(ISNUMBER(SEARCH("Lunch",$C383)),$D383="Chinese"),RAND(),"")</f>
        <v/>
      </c>
      <c r="L383" s="28">
        <f>IF(AND(ISNUMBER(SEARCH("Lunch",$C383)),$D383="Western"),RAND(),"")</f>
        <v/>
      </c>
      <c r="M383" s="28">
        <f>IF(AND(ISNUMBER(SEARCH("Dinner",$C383)),$D383="Asian"),RAND(),"")</f>
        <v/>
      </c>
      <c r="N383" s="28">
        <f>IF(AND(ISNUMBER(SEARCH("Dinner",$C383)),$D383="Chinese"),RAND(),"")</f>
        <v/>
      </c>
      <c r="O383" s="28">
        <f>IF(AND(ISNUMBER(SEARCH("Dinner",$C383)),$D383="Western"),RAND(),"")</f>
        <v/>
      </c>
    </row>
    <row r="384" ht="15.75" customHeight="1" s="36">
      <c r="A384" s="18" t="inlineStr">
        <is>
          <t>Scallions</t>
        </is>
      </c>
      <c r="B384" s="18" t="inlineStr">
        <is>
          <t>Chicken Breast, Garlic, Ginger, Curry Powder, Tumeric, Coconut Milk, Rice Vinegar, Orange, Cilantro</t>
        </is>
      </c>
      <c r="C384" s="17" t="inlineStr">
        <is>
          <t>Dinner</t>
        </is>
      </c>
      <c r="D384" s="29" t="inlineStr">
        <is>
          <t>Asian</t>
        </is>
      </c>
      <c r="E384" s="17" t="inlineStr">
        <is>
          <t>Med</t>
        </is>
      </c>
      <c r="F384" s="19" t="inlineStr">
        <is>
          <t>https://www.kitchenstories.com/en/recipes/coconut-curry-poached-chicken-0eff</t>
        </is>
      </c>
      <c r="G384" s="27">
        <f>IF(AND(ISNUMBER(SEARCH("Breakfast",$C384)),$D384="Asian"),RAND(),"")</f>
        <v/>
      </c>
      <c r="H384" s="27">
        <f>IF(AND(ISNUMBER(SEARCH("Breakfast",$C384)),$D384="Chinese"),RAND(),"")</f>
        <v/>
      </c>
      <c r="I384" s="27">
        <f>IF(AND(ISNUMBER(SEARCH("Breakfast",$C384)),$D384="Western"),RAND(),"")</f>
        <v/>
      </c>
      <c r="J384" s="27">
        <f>IF(AND(ISNUMBER(SEARCH("Lunch",$C384)),$D384="Asian"),RAND(),"")</f>
        <v/>
      </c>
      <c r="K384" s="27">
        <f>IF(AND(ISNUMBER(SEARCH("Lunch",$C384)),$D384="Chinese"),RAND(),"")</f>
        <v/>
      </c>
      <c r="L384" s="27">
        <f>IF(AND(ISNUMBER(SEARCH("Lunch",$C384)),$D384="Western"),RAND(),"")</f>
        <v/>
      </c>
      <c r="M384" s="27">
        <f>IF(AND(ISNUMBER(SEARCH("Dinner",$C384)),$D384="Asian"),RAND(),"")</f>
        <v/>
      </c>
      <c r="N384" s="27">
        <f>IF(AND(ISNUMBER(SEARCH("Dinner",$C384)),$D384="Chinese"),RAND(),"")</f>
        <v/>
      </c>
      <c r="O384" s="27">
        <f>IF(AND(ISNUMBER(SEARCH("Dinner",$C384)),$D384="Western"),RAND(),"")</f>
        <v/>
      </c>
    </row>
    <row r="385" ht="15.75" customHeight="1" s="36">
      <c r="A385" s="22" t="inlineStr">
        <is>
          <t>Scallop Linguine</t>
        </is>
      </c>
      <c r="B385" s="22" t="inlineStr">
        <is>
          <t>Scallops, Garlic, Parsley, Lemon, Butter, Linguine, Olive Oil, Unsalted Butter</t>
        </is>
      </c>
      <c r="C385" s="21" t="inlineStr">
        <is>
          <t>Dinner, Lunch</t>
        </is>
      </c>
      <c r="D385" s="30" t="inlineStr">
        <is>
          <t>Western</t>
        </is>
      </c>
      <c r="E385" s="21" t="inlineStr">
        <is>
          <t>Med</t>
        </is>
      </c>
      <c r="F385" s="23" t="inlineStr">
        <is>
          <t>https://www.kitchenstories.com/en/recipes/5-ingredient-lemony-brown-butter-linguine-with-scallops</t>
        </is>
      </c>
      <c r="G385" s="28">
        <f>IF(AND(ISNUMBER(SEARCH("Breakfast",$C385)),$D385="Asian"),RAND(),"")</f>
        <v/>
      </c>
      <c r="H385" s="28">
        <f>IF(AND(ISNUMBER(SEARCH("Breakfast",$C385)),$D385="Chinese"),RAND(),"")</f>
        <v/>
      </c>
      <c r="I385" s="28">
        <f>IF(AND(ISNUMBER(SEARCH("Breakfast",$C385)),$D385="Western"),RAND(),"")</f>
        <v/>
      </c>
      <c r="J385" s="28">
        <f>IF(AND(ISNUMBER(SEARCH("Lunch",$C385)),$D385="Asian"),RAND(),"")</f>
        <v/>
      </c>
      <c r="K385" s="28">
        <f>IF(AND(ISNUMBER(SEARCH("Lunch",$C385)),$D385="Chinese"),RAND(),"")</f>
        <v/>
      </c>
      <c r="L385" s="28">
        <f>IF(AND(ISNUMBER(SEARCH("Lunch",$C385)),$D385="Western"),RAND(),"")</f>
        <v/>
      </c>
      <c r="M385" s="28">
        <f>IF(AND(ISNUMBER(SEARCH("Dinner",$C385)),$D385="Asian"),RAND(),"")</f>
        <v/>
      </c>
      <c r="N385" s="28">
        <f>IF(AND(ISNUMBER(SEARCH("Dinner",$C385)),$D385="Chinese"),RAND(),"")</f>
        <v/>
      </c>
      <c r="O385" s="28">
        <f>IF(AND(ISNUMBER(SEARCH("Dinner",$C385)),$D385="Western"),RAND(),"")</f>
        <v/>
      </c>
    </row>
    <row r="386" ht="15.75" customHeight="1" s="36">
      <c r="A386" s="18" t="inlineStr">
        <is>
          <t>Scallop Tofu</t>
        </is>
      </c>
      <c r="B386" s="18" t="inlineStr">
        <is>
          <t>Scallops, Cornflour, Egg Tofu, Cornstarch, Wolfberries, Ginger, Garlic, Dried Scallops, Oyster Sauce, Sugar, Chinese Wine, Parsley</t>
        </is>
      </c>
      <c r="C386" s="17" t="inlineStr">
        <is>
          <t>Dinner</t>
        </is>
      </c>
      <c r="D386" s="26" t="inlineStr">
        <is>
          <t>Chinese</t>
        </is>
      </c>
      <c r="E386" s="17" t="inlineStr">
        <is>
          <t>High</t>
        </is>
      </c>
      <c r="F386" s="19" t="inlineStr">
        <is>
          <t>https://youtu.be/4DCUtZLR-Fc</t>
        </is>
      </c>
      <c r="G386" s="27">
        <f>IF(AND(ISNUMBER(SEARCH("Breakfast",$C386)),$D386="Asian"),RAND(),"")</f>
        <v/>
      </c>
      <c r="H386" s="27">
        <f>IF(AND(ISNUMBER(SEARCH("Breakfast",$C386)),$D386="Chinese"),RAND(),"")</f>
        <v/>
      </c>
      <c r="I386" s="27">
        <f>IF(AND(ISNUMBER(SEARCH("Breakfast",$C386)),$D386="Western"),RAND(),"")</f>
        <v/>
      </c>
      <c r="J386" s="27">
        <f>IF(AND(ISNUMBER(SEARCH("Lunch",$C386)),$D386="Asian"),RAND(),"")</f>
        <v/>
      </c>
      <c r="K386" s="27">
        <f>IF(AND(ISNUMBER(SEARCH("Lunch",$C386)),$D386="Chinese"),RAND(),"")</f>
        <v/>
      </c>
      <c r="L386" s="27">
        <f>IF(AND(ISNUMBER(SEARCH("Lunch",$C386)),$D386="Western"),RAND(),"")</f>
        <v/>
      </c>
      <c r="M386" s="27">
        <f>IF(AND(ISNUMBER(SEARCH("Dinner",$C386)),$D386="Asian"),RAND(),"")</f>
        <v/>
      </c>
      <c r="N386" s="27">
        <f>IF(AND(ISNUMBER(SEARCH("Dinner",$C386)),$D386="Chinese"),RAND(),"")</f>
        <v/>
      </c>
      <c r="O386" s="27">
        <f>IF(AND(ISNUMBER(SEARCH("Dinner",$C386)),$D386="Western"),RAND(),"")</f>
        <v/>
      </c>
    </row>
    <row r="387" ht="15.75" customHeight="1" s="36">
      <c r="A387" s="22" t="inlineStr">
        <is>
          <t>Scones</t>
        </is>
      </c>
      <c r="B387" s="22" t="inlineStr">
        <is>
          <t>Butter, All Purpose Flour, Baking Powder, Salt, Egg, White Vinegar, Milk, Cheese, Spring Onion, Sugar, Heavy cream, Vanilla extract</t>
        </is>
      </c>
      <c r="C387" s="21" t="inlineStr">
        <is>
          <t>Breakfast</t>
        </is>
      </c>
      <c r="D387" s="30" t="inlineStr">
        <is>
          <t>Western</t>
        </is>
      </c>
      <c r="E387" s="21" t="inlineStr">
        <is>
          <t>Med</t>
        </is>
      </c>
      <c r="F387" s="23" t="inlineStr">
        <is>
          <t>https://www.instagram.com/reel/C9R8dtXRNxX/?igsh=bWhudHQ4YWhoZjl3</t>
        </is>
      </c>
      <c r="G387" s="28">
        <f>IF(AND(ISNUMBER(SEARCH("Breakfast",$C387)),$D387="Asian"),RAND(),"")</f>
        <v/>
      </c>
      <c r="H387" s="28">
        <f>IF(AND(ISNUMBER(SEARCH("Breakfast",$C387)),$D387="Chinese"),RAND(),"")</f>
        <v/>
      </c>
      <c r="I387" s="28">
        <f>IF(AND(ISNUMBER(SEARCH("Breakfast",$C387)),$D387="Western"),RAND(),"")</f>
        <v/>
      </c>
      <c r="J387" s="28">
        <f>IF(AND(ISNUMBER(SEARCH("Lunch",$C387)),$D387="Asian"),RAND(),"")</f>
        <v/>
      </c>
      <c r="K387" s="28">
        <f>IF(AND(ISNUMBER(SEARCH("Lunch",$C387)),$D387="Chinese"),RAND(),"")</f>
        <v/>
      </c>
      <c r="L387" s="28">
        <f>IF(AND(ISNUMBER(SEARCH("Lunch",$C387)),$D387="Western"),RAND(),"")</f>
        <v/>
      </c>
      <c r="M387" s="28">
        <f>IF(AND(ISNUMBER(SEARCH("Dinner",$C387)),$D387="Asian"),RAND(),"")</f>
        <v/>
      </c>
      <c r="N387" s="28">
        <f>IF(AND(ISNUMBER(SEARCH("Dinner",$C387)),$D387="Chinese"),RAND(),"")</f>
        <v/>
      </c>
      <c r="O387" s="28">
        <f>IF(AND(ISNUMBER(SEARCH("Dinner",$C387)),$D387="Western"),RAND(),"")</f>
        <v/>
      </c>
    </row>
    <row r="388" ht="15.75" customHeight="1" s="36">
      <c r="A388" s="18" t="inlineStr">
        <is>
          <t>Scrambled Egg Tofu</t>
        </is>
      </c>
      <c r="B388" s="18" t="inlineStr">
        <is>
          <t>Tofu, Spring Onion, Ginger, Carrot, Cashew, Eggs, Rice Vinegar, Chillli Flakes, Oyster Sauce</t>
        </is>
      </c>
      <c r="C388" s="17" t="inlineStr">
        <is>
          <t>Dinner</t>
        </is>
      </c>
      <c r="D388" s="26" t="inlineStr">
        <is>
          <t>Chinese</t>
        </is>
      </c>
      <c r="E388" s="17" t="inlineStr">
        <is>
          <t>High</t>
        </is>
      </c>
      <c r="F388" s="19" t="inlineStr">
        <is>
          <t>https://youtu.be/Jq9RBjhPKTo</t>
        </is>
      </c>
      <c r="G388" s="27">
        <f>IF(AND(ISNUMBER(SEARCH("Breakfast",$C388)),$D388="Asian"),RAND(),"")</f>
        <v/>
      </c>
      <c r="H388" s="27">
        <f>IF(AND(ISNUMBER(SEARCH("Breakfast",$C388)),$D388="Chinese"),RAND(),"")</f>
        <v/>
      </c>
      <c r="I388" s="27">
        <f>IF(AND(ISNUMBER(SEARCH("Breakfast",$C388)),$D388="Western"),RAND(),"")</f>
        <v/>
      </c>
      <c r="J388" s="27">
        <f>IF(AND(ISNUMBER(SEARCH("Lunch",$C388)),$D388="Asian"),RAND(),"")</f>
        <v/>
      </c>
      <c r="K388" s="27">
        <f>IF(AND(ISNUMBER(SEARCH("Lunch",$C388)),$D388="Chinese"),RAND(),"")</f>
        <v/>
      </c>
      <c r="L388" s="27">
        <f>IF(AND(ISNUMBER(SEARCH("Lunch",$C388)),$D388="Western"),RAND(),"")</f>
        <v/>
      </c>
      <c r="M388" s="27">
        <f>IF(AND(ISNUMBER(SEARCH("Dinner",$C388)),$D388="Asian"),RAND(),"")</f>
        <v/>
      </c>
      <c r="N388" s="27">
        <f>IF(AND(ISNUMBER(SEARCH("Dinner",$C388)),$D388="Chinese"),RAND(),"")</f>
        <v/>
      </c>
      <c r="O388" s="27">
        <f>IF(AND(ISNUMBER(SEARCH("Dinner",$C388)),$D388="Western"),RAND(),"")</f>
        <v/>
      </c>
    </row>
    <row r="389" ht="15.75" customHeight="1" s="36">
      <c r="A389" s="22" t="inlineStr">
        <is>
          <t>Sea Salt Matcha Cookie</t>
        </is>
      </c>
      <c r="B389" s="22" t="inlineStr">
        <is>
          <t>Butter, All purpose flour, Baking Powder, Baking Soda, Matcha, Flakey Salt, Vanilla Bean, Sugar</t>
        </is>
      </c>
      <c r="C389" s="21" t="inlineStr">
        <is>
          <t>Lunch</t>
        </is>
      </c>
      <c r="D389" s="30" t="inlineStr">
        <is>
          <t>Western</t>
        </is>
      </c>
      <c r="E389" s="21" t="inlineStr">
        <is>
          <t>Med</t>
        </is>
      </c>
      <c r="F389" s="23" t="inlineStr">
        <is>
          <t>https://www.instagram.com/reel/C8nygGIxkQM/?igsh=Mnl5bDFldTlnbWZz</t>
        </is>
      </c>
      <c r="G389" s="28">
        <f>IF(AND(ISNUMBER(SEARCH("Breakfast",$C389)),$D389="Asian"),RAND(),"")</f>
        <v/>
      </c>
      <c r="H389" s="28">
        <f>IF(AND(ISNUMBER(SEARCH("Breakfast",$C389)),$D389="Chinese"),RAND(),"")</f>
        <v/>
      </c>
      <c r="I389" s="28">
        <f>IF(AND(ISNUMBER(SEARCH("Breakfast",$C389)),$D389="Western"),RAND(),"")</f>
        <v/>
      </c>
      <c r="J389" s="28">
        <f>IF(AND(ISNUMBER(SEARCH("Lunch",$C389)),$D389="Asian"),RAND(),"")</f>
        <v/>
      </c>
      <c r="K389" s="28">
        <f>IF(AND(ISNUMBER(SEARCH("Lunch",$C389)),$D389="Chinese"),RAND(),"")</f>
        <v/>
      </c>
      <c r="L389" s="28">
        <f>IF(AND(ISNUMBER(SEARCH("Lunch",$C389)),$D389="Western"),RAND(),"")</f>
        <v/>
      </c>
      <c r="M389" s="28">
        <f>IF(AND(ISNUMBER(SEARCH("Dinner",$C389)),$D389="Asian"),RAND(),"")</f>
        <v/>
      </c>
      <c r="N389" s="28">
        <f>IF(AND(ISNUMBER(SEARCH("Dinner",$C389)),$D389="Chinese"),RAND(),"")</f>
        <v/>
      </c>
      <c r="O389" s="28">
        <f>IF(AND(ISNUMBER(SEARCH("Dinner",$C389)),$D389="Western"),RAND(),"")</f>
        <v/>
      </c>
    </row>
    <row r="390" ht="15.75" customHeight="1" s="36">
      <c r="A390" s="18" t="inlineStr">
        <is>
          <t>Seafood Broth</t>
        </is>
      </c>
      <c r="B390" s="18" t="inlineStr">
        <is>
          <t>Prawn Shells, Spring Onion, White Pepper, Sesame Oil, Green Chilli, Red Chilli Flakes, Soy Sauce, Ginger, Garlic, Tofu, Ice Vege, Squid, Fishball, rice</t>
        </is>
      </c>
      <c r="C390" s="17" t="inlineStr">
        <is>
          <t>Lunch</t>
        </is>
      </c>
      <c r="D390" s="26" t="inlineStr">
        <is>
          <t>Chinese</t>
        </is>
      </c>
      <c r="E390" s="17" t="inlineStr">
        <is>
          <t>Med</t>
        </is>
      </c>
      <c r="F390" s="19" t="inlineStr">
        <is>
          <t>https://www.instagram.com/p/CRtsohGAe4M/</t>
        </is>
      </c>
      <c r="G390" s="27">
        <f>IF(AND(ISNUMBER(SEARCH("Breakfast",$C390)),$D390="Asian"),RAND(),"")</f>
        <v/>
      </c>
      <c r="H390" s="27">
        <f>IF(AND(ISNUMBER(SEARCH("Breakfast",$C390)),$D390="Chinese"),RAND(),"")</f>
        <v/>
      </c>
      <c r="I390" s="27">
        <f>IF(AND(ISNUMBER(SEARCH("Breakfast",$C390)),$D390="Western"),RAND(),"")</f>
        <v/>
      </c>
      <c r="J390" s="27">
        <f>IF(AND(ISNUMBER(SEARCH("Lunch",$C390)),$D390="Asian"),RAND(),"")</f>
        <v/>
      </c>
      <c r="K390" s="27">
        <f>IF(AND(ISNUMBER(SEARCH("Lunch",$C390)),$D390="Chinese"),RAND(),"")</f>
        <v/>
      </c>
      <c r="L390" s="27">
        <f>IF(AND(ISNUMBER(SEARCH("Lunch",$C390)),$D390="Western"),RAND(),"")</f>
        <v/>
      </c>
      <c r="M390" s="27">
        <f>IF(AND(ISNUMBER(SEARCH("Dinner",$C390)),$D390="Asian"),RAND(),"")</f>
        <v/>
      </c>
      <c r="N390" s="27">
        <f>IF(AND(ISNUMBER(SEARCH("Dinner",$C390)),$D390="Chinese"),RAND(),"")</f>
        <v/>
      </c>
      <c r="O390" s="27">
        <f>IF(AND(ISNUMBER(SEARCH("Dinner",$C390)),$D390="Western"),RAND(),"")</f>
        <v/>
      </c>
    </row>
    <row r="391" ht="15.75" customHeight="1" s="36">
      <c r="A391" s="22" t="inlineStr">
        <is>
          <t>Sesame Oil Porridge</t>
        </is>
      </c>
      <c r="B391" s="22" t="inlineStr">
        <is>
          <t>Sesame Oil, Ginger, Egg, Rice, Salt</t>
        </is>
      </c>
      <c r="C391" s="21" t="inlineStr">
        <is>
          <t>Lunch</t>
        </is>
      </c>
      <c r="D391" s="33" t="inlineStr">
        <is>
          <t>Chinese</t>
        </is>
      </c>
      <c r="E391" s="21" t="inlineStr">
        <is>
          <t>Low</t>
        </is>
      </c>
      <c r="F391" s="23" t="inlineStr">
        <is>
          <t>https://www.instagram.com/reel/DJV22s3i-wT/?igsh=NnZuenV1eGdlMmRu</t>
        </is>
      </c>
      <c r="G391" s="28">
        <f>IF(AND(ISNUMBER(SEARCH("Breakfast",$C391)),$D391="Asian"),RAND(),"")</f>
        <v/>
      </c>
      <c r="H391" s="28">
        <f>IF(AND(ISNUMBER(SEARCH("Breakfast",$C391)),$D391="Chinese"),RAND(),"")</f>
        <v/>
      </c>
      <c r="I391" s="28">
        <f>IF(AND(ISNUMBER(SEARCH("Breakfast",$C391)),$D391="Western"),RAND(),"")</f>
        <v/>
      </c>
      <c r="J391" s="28">
        <f>IF(AND(ISNUMBER(SEARCH("Lunch",$C391)),$D391="Asian"),RAND(),"")</f>
        <v/>
      </c>
      <c r="K391" s="28">
        <f>IF(AND(ISNUMBER(SEARCH("Lunch",$C391)),$D391="Chinese"),RAND(),"")</f>
        <v/>
      </c>
      <c r="L391" s="28">
        <f>IF(AND(ISNUMBER(SEARCH("Lunch",$C391)),$D391="Western"),RAND(),"")</f>
        <v/>
      </c>
      <c r="M391" s="28">
        <f>IF(AND(ISNUMBER(SEARCH("Dinner",$C391)),$D391="Asian"),RAND(),"")</f>
        <v/>
      </c>
      <c r="N391" s="28">
        <f>IF(AND(ISNUMBER(SEARCH("Dinner",$C391)),$D391="Chinese"),RAND(),"")</f>
        <v/>
      </c>
      <c r="O391" s="28">
        <f>IF(AND(ISNUMBER(SEARCH("Dinner",$C391)),$D391="Western"),RAND(),"")</f>
        <v/>
      </c>
    </row>
    <row r="392" ht="15.75" customHeight="1" s="36">
      <c r="A392" s="18" t="inlineStr">
        <is>
          <t>Shabu shabu</t>
        </is>
      </c>
      <c r="B392" s="18" t="inlineStr">
        <is>
          <t>Xiao Bai Cai, Dang Oh Vege, Green Onion, Enoki Mushroom, Shimeiji Mushroom, Shiitake Mushroom, Carrot, Firm Tofu, Radish, Shichimi, Beef Slices, Kombu Soup</t>
        </is>
      </c>
      <c r="C392" s="17" t="inlineStr">
        <is>
          <t>Dinner</t>
        </is>
      </c>
      <c r="D392" s="26" t="inlineStr">
        <is>
          <t>Chinese</t>
        </is>
      </c>
      <c r="E392" s="17" t="inlineStr">
        <is>
          <t>Med</t>
        </is>
      </c>
      <c r="F392" s="19" t="inlineStr">
        <is>
          <t>https://youtu.be/tw8EXKWwudQ</t>
        </is>
      </c>
      <c r="G392" s="27">
        <f>IF(AND(ISNUMBER(SEARCH("Breakfast",$C392)),$D392="Asian"),RAND(),"")</f>
        <v/>
      </c>
      <c r="H392" s="27">
        <f>IF(AND(ISNUMBER(SEARCH("Breakfast",$C392)),$D392="Chinese"),RAND(),"")</f>
        <v/>
      </c>
      <c r="I392" s="27">
        <f>IF(AND(ISNUMBER(SEARCH("Breakfast",$C392)),$D392="Western"),RAND(),"")</f>
        <v/>
      </c>
      <c r="J392" s="27">
        <f>IF(AND(ISNUMBER(SEARCH("Lunch",$C392)),$D392="Asian"),RAND(),"")</f>
        <v/>
      </c>
      <c r="K392" s="27">
        <f>IF(AND(ISNUMBER(SEARCH("Lunch",$C392)),$D392="Chinese"),RAND(),"")</f>
        <v/>
      </c>
      <c r="L392" s="27">
        <f>IF(AND(ISNUMBER(SEARCH("Lunch",$C392)),$D392="Western"),RAND(),"")</f>
        <v/>
      </c>
      <c r="M392" s="27">
        <f>IF(AND(ISNUMBER(SEARCH("Dinner",$C392)),$D392="Asian"),RAND(),"")</f>
        <v/>
      </c>
      <c r="N392" s="27">
        <f>IF(AND(ISNUMBER(SEARCH("Dinner",$C392)),$D392="Chinese"),RAND(),"")</f>
        <v/>
      </c>
      <c r="O392" s="27">
        <f>IF(AND(ISNUMBER(SEARCH("Dinner",$C392)),$D392="Western"),RAND(),"")</f>
        <v/>
      </c>
    </row>
    <row r="393" ht="15.75" customHeight="1" s="36">
      <c r="A393" s="22" t="inlineStr">
        <is>
          <t>Sheet Pan salad.with Peas</t>
        </is>
      </c>
      <c r="B393" s="22" t="inlineStr">
        <is>
          <t>Baby Potatoes, Eggs, Green Bean, Red Onion, tomato, Romaine Heart, Olives, Dijon Mustard, Chickpeas, Garlic, Olive Oil</t>
        </is>
      </c>
      <c r="C393" s="21" t="inlineStr">
        <is>
          <t>Dinner</t>
        </is>
      </c>
      <c r="D393" s="30" t="inlineStr">
        <is>
          <t>Western</t>
        </is>
      </c>
      <c r="E393" s="21" t="inlineStr">
        <is>
          <t>Med</t>
        </is>
      </c>
      <c r="F393" s="23" t="inlineStr">
        <is>
          <t>https://www.kitchenstories.com/en/recipes/sheet-pan-nicoise-salad-with-chickpeas</t>
        </is>
      </c>
      <c r="G393" s="28">
        <f>IF(AND(ISNUMBER(SEARCH("Breakfast",$C393)),$D393="Asian"),RAND(),"")</f>
        <v/>
      </c>
      <c r="H393" s="28">
        <f>IF(AND(ISNUMBER(SEARCH("Breakfast",$C393)),$D393="Chinese"),RAND(),"")</f>
        <v/>
      </c>
      <c r="I393" s="28">
        <f>IF(AND(ISNUMBER(SEARCH("Breakfast",$C393)),$D393="Western"),RAND(),"")</f>
        <v/>
      </c>
      <c r="J393" s="28">
        <f>IF(AND(ISNUMBER(SEARCH("Lunch",$C393)),$D393="Asian"),RAND(),"")</f>
        <v/>
      </c>
      <c r="K393" s="28">
        <f>IF(AND(ISNUMBER(SEARCH("Lunch",$C393)),$D393="Chinese"),RAND(),"")</f>
        <v/>
      </c>
      <c r="L393" s="28">
        <f>IF(AND(ISNUMBER(SEARCH("Lunch",$C393)),$D393="Western"),RAND(),"")</f>
        <v/>
      </c>
      <c r="M393" s="28">
        <f>IF(AND(ISNUMBER(SEARCH("Dinner",$C393)),$D393="Asian"),RAND(),"")</f>
        <v/>
      </c>
      <c r="N393" s="28">
        <f>IF(AND(ISNUMBER(SEARCH("Dinner",$C393)),$D393="Chinese"),RAND(),"")</f>
        <v/>
      </c>
      <c r="O393" s="28">
        <f>IF(AND(ISNUMBER(SEARCH("Dinner",$C393)),$D393="Western"),RAND(),"")</f>
        <v/>
      </c>
    </row>
    <row r="394" ht="15.75" customHeight="1" s="36">
      <c r="A394" s="18" t="inlineStr">
        <is>
          <t>Shiitake mushroom</t>
        </is>
      </c>
      <c r="B394" s="18" t="inlineStr">
        <is>
          <t>butter, garlic, spring onion</t>
        </is>
      </c>
      <c r="C394" s="17" t="inlineStr">
        <is>
          <t>Lunch</t>
        </is>
      </c>
      <c r="D394" s="33" t="inlineStr">
        <is>
          <t>Asian</t>
        </is>
      </c>
      <c r="E394" s="17" t="inlineStr">
        <is>
          <t>Low</t>
        </is>
      </c>
      <c r="F394" s="19" t="inlineStr">
        <is>
          <t>https://youtu.be/UBCMzvt8ebY</t>
        </is>
      </c>
      <c r="G394" s="27">
        <f>IF(AND(ISNUMBER(SEARCH("Breakfast",$C394)),$D394="Asian"),RAND(),"")</f>
        <v/>
      </c>
      <c r="H394" s="27">
        <f>IF(AND(ISNUMBER(SEARCH("Breakfast",$C394)),$D394="Chinese"),RAND(),"")</f>
        <v/>
      </c>
      <c r="I394" s="27">
        <f>IF(AND(ISNUMBER(SEARCH("Breakfast",$C394)),$D394="Western"),RAND(),"")</f>
        <v/>
      </c>
      <c r="J394" s="27">
        <f>IF(AND(ISNUMBER(SEARCH("Lunch",$C394)),$D394="Asian"),RAND(),"")</f>
        <v/>
      </c>
      <c r="K394" s="27">
        <f>IF(AND(ISNUMBER(SEARCH("Lunch",$C394)),$D394="Chinese"),RAND(),"")</f>
        <v/>
      </c>
      <c r="L394" s="27">
        <f>IF(AND(ISNUMBER(SEARCH("Lunch",$C394)),$D394="Western"),RAND(),"")</f>
        <v/>
      </c>
      <c r="M394" s="27">
        <f>IF(AND(ISNUMBER(SEARCH("Dinner",$C394)),$D394="Asian"),RAND(),"")</f>
        <v/>
      </c>
      <c r="N394" s="27">
        <f>IF(AND(ISNUMBER(SEARCH("Dinner",$C394)),$D394="Chinese"),RAND(),"")</f>
        <v/>
      </c>
      <c r="O394" s="27">
        <f>IF(AND(ISNUMBER(SEARCH("Dinner",$C394)),$D394="Western"),RAND(),"")</f>
        <v/>
      </c>
    </row>
    <row r="395" ht="15.75" customHeight="1" s="36">
      <c r="A395" s="22" t="inlineStr">
        <is>
          <t>Shiitake mushroom skewers</t>
        </is>
      </c>
      <c r="B395" s="22" t="inlineStr">
        <is>
          <t>Shiitake mushrooms, Wooden skewers, Basil leaves, Garlic, Shallot</t>
        </is>
      </c>
      <c r="C395" s="21" t="inlineStr">
        <is>
          <t>Dinner</t>
        </is>
      </c>
      <c r="D395" s="33" t="inlineStr">
        <is>
          <t>Asian</t>
        </is>
      </c>
      <c r="E395" s="21" t="inlineStr">
        <is>
          <t>Low</t>
        </is>
      </c>
      <c r="F395" s="23" t="inlineStr">
        <is>
          <t>https://www.instagram.com/reel/C69qi3UO-O4/?igsh=bW83cHN0czFmNHB4</t>
        </is>
      </c>
      <c r="G395" s="28">
        <f>IF(AND(ISNUMBER(SEARCH("Breakfast",$C395)),$D395="Asian"),RAND(),"")</f>
        <v/>
      </c>
      <c r="H395" s="28">
        <f>IF(AND(ISNUMBER(SEARCH("Breakfast",$C395)),$D395="Chinese"),RAND(),"")</f>
        <v/>
      </c>
      <c r="I395" s="28">
        <f>IF(AND(ISNUMBER(SEARCH("Breakfast",$C395)),$D395="Western"),RAND(),"")</f>
        <v/>
      </c>
      <c r="J395" s="28">
        <f>IF(AND(ISNUMBER(SEARCH("Lunch",$C395)),$D395="Asian"),RAND(),"")</f>
        <v/>
      </c>
      <c r="K395" s="28">
        <f>IF(AND(ISNUMBER(SEARCH("Lunch",$C395)),$D395="Chinese"),RAND(),"")</f>
        <v/>
      </c>
      <c r="L395" s="28">
        <f>IF(AND(ISNUMBER(SEARCH("Lunch",$C395)),$D395="Western"),RAND(),"")</f>
        <v/>
      </c>
      <c r="M395" s="28">
        <f>IF(AND(ISNUMBER(SEARCH("Dinner",$C395)),$D395="Asian"),RAND(),"")</f>
        <v/>
      </c>
      <c r="N395" s="28">
        <f>IF(AND(ISNUMBER(SEARCH("Dinner",$C395)),$D395="Chinese"),RAND(),"")</f>
        <v/>
      </c>
      <c r="O395" s="28">
        <f>IF(AND(ISNUMBER(SEARCH("Dinner",$C395)),$D395="Western"),RAND(),"")</f>
        <v/>
      </c>
    </row>
    <row r="396" ht="15.75" customHeight="1" s="36">
      <c r="A396" s="18" t="inlineStr">
        <is>
          <t>Shrimp Egg</t>
        </is>
      </c>
      <c r="B396" s="18" t="inlineStr">
        <is>
          <t>Egg, brocoli, tomato, Shimeiji Mushroom, Shrimp</t>
        </is>
      </c>
      <c r="C396" s="17" t="inlineStr">
        <is>
          <t>Lunch</t>
        </is>
      </c>
      <c r="D396" s="33" t="inlineStr">
        <is>
          <t>Chinese</t>
        </is>
      </c>
      <c r="E396" s="17" t="inlineStr">
        <is>
          <t>Low</t>
        </is>
      </c>
      <c r="F396" s="19" t="inlineStr">
        <is>
          <t>https://www.instagram.com/reel/DF7d1T6BJK2/?igsh=MXBxcjZoNDdlZ3pydA==</t>
        </is>
      </c>
      <c r="G396" s="27">
        <f>IF(AND(ISNUMBER(SEARCH("Breakfast",$C396)),$D396="Asian"),RAND(),"")</f>
        <v/>
      </c>
      <c r="H396" s="27">
        <f>IF(AND(ISNUMBER(SEARCH("Breakfast",$C396)),$D396="Chinese"),RAND(),"")</f>
        <v/>
      </c>
      <c r="I396" s="27">
        <f>IF(AND(ISNUMBER(SEARCH("Breakfast",$C396)),$D396="Western"),RAND(),"")</f>
        <v/>
      </c>
      <c r="J396" s="27">
        <f>IF(AND(ISNUMBER(SEARCH("Lunch",$C396)),$D396="Asian"),RAND(),"")</f>
        <v/>
      </c>
      <c r="K396" s="27">
        <f>IF(AND(ISNUMBER(SEARCH("Lunch",$C396)),$D396="Chinese"),RAND(),"")</f>
        <v/>
      </c>
      <c r="L396" s="27">
        <f>IF(AND(ISNUMBER(SEARCH("Lunch",$C396)),$D396="Western"),RAND(),"")</f>
        <v/>
      </c>
      <c r="M396" s="27">
        <f>IF(AND(ISNUMBER(SEARCH("Dinner",$C396)),$D396="Asian"),RAND(),"")</f>
        <v/>
      </c>
      <c r="N396" s="27">
        <f>IF(AND(ISNUMBER(SEARCH("Dinner",$C396)),$D396="Chinese"),RAND(),"")</f>
        <v/>
      </c>
      <c r="O396" s="27">
        <f>IF(AND(ISNUMBER(SEARCH("Dinner",$C396)),$D396="Western"),RAND(),"")</f>
        <v/>
      </c>
    </row>
    <row r="397" ht="15.75" customHeight="1" s="36">
      <c r="A397" s="22" t="inlineStr">
        <is>
          <t>Simmered Daikon</t>
        </is>
      </c>
      <c r="B397" s="22" t="inlineStr">
        <is>
          <t>Daikon, Dashi Stock, Soy Sauce, Mirin, Salt</t>
        </is>
      </c>
      <c r="C397" s="21" t="inlineStr">
        <is>
          <t>Dinner</t>
        </is>
      </c>
      <c r="D397" s="29" t="inlineStr">
        <is>
          <t>Asian</t>
        </is>
      </c>
      <c r="E397" s="21" t="inlineStr">
        <is>
          <t>High</t>
        </is>
      </c>
      <c r="F397" s="23" t="inlineStr">
        <is>
          <t>https://youtu.be/GXpiOZ6QrYE</t>
        </is>
      </c>
      <c r="G397" s="28">
        <f>IF(AND(ISNUMBER(SEARCH("Breakfast",$C397)),$D397="Asian"),RAND(),"")</f>
        <v/>
      </c>
      <c r="H397" s="28">
        <f>IF(AND(ISNUMBER(SEARCH("Breakfast",$C397)),$D397="Chinese"),RAND(),"")</f>
        <v/>
      </c>
      <c r="I397" s="28">
        <f>IF(AND(ISNUMBER(SEARCH("Breakfast",$C397)),$D397="Western"),RAND(),"")</f>
        <v/>
      </c>
      <c r="J397" s="28">
        <f>IF(AND(ISNUMBER(SEARCH("Lunch",$C397)),$D397="Asian"),RAND(),"")</f>
        <v/>
      </c>
      <c r="K397" s="28">
        <f>IF(AND(ISNUMBER(SEARCH("Lunch",$C397)),$D397="Chinese"),RAND(),"")</f>
        <v/>
      </c>
      <c r="L397" s="28">
        <f>IF(AND(ISNUMBER(SEARCH("Lunch",$C397)),$D397="Western"),RAND(),"")</f>
        <v/>
      </c>
      <c r="M397" s="28">
        <f>IF(AND(ISNUMBER(SEARCH("Dinner",$C397)),$D397="Asian"),RAND(),"")</f>
        <v/>
      </c>
      <c r="N397" s="28">
        <f>IF(AND(ISNUMBER(SEARCH("Dinner",$C397)),$D397="Chinese"),RAND(),"")</f>
        <v/>
      </c>
      <c r="O397" s="28">
        <f>IF(AND(ISNUMBER(SEARCH("Dinner",$C397)),$D397="Western"),RAND(),"")</f>
        <v/>
      </c>
    </row>
    <row r="398" ht="15.75" customHeight="1" s="36">
      <c r="A398" s="18" t="inlineStr">
        <is>
          <t>Simple wild rice salad</t>
        </is>
      </c>
      <c r="B398" s="18" t="inlineStr">
        <is>
          <t>Rice, Granny Smith apples, Cranberries, Avocado, Dill, Pecans, Orange, Lemon, Dijon mustard, Garlic</t>
        </is>
      </c>
      <c r="C398" s="17" t="inlineStr">
        <is>
          <t>Dinner</t>
        </is>
      </c>
      <c r="D398" s="30" t="inlineStr">
        <is>
          <t>Western</t>
        </is>
      </c>
      <c r="E398" s="17" t="inlineStr">
        <is>
          <t>Med</t>
        </is>
      </c>
      <c r="F398" s="19" t="inlineStr">
        <is>
          <t>https://www.foodbymaria.com/high-protein-vegan-meal-prep/</t>
        </is>
      </c>
      <c r="G398" s="27">
        <f>IF(AND(ISNUMBER(SEARCH("Breakfast",$C398)),$D398="Asian"),RAND(),"")</f>
        <v/>
      </c>
      <c r="H398" s="27">
        <f>IF(AND(ISNUMBER(SEARCH("Breakfast",$C398)),$D398="Chinese"),RAND(),"")</f>
        <v/>
      </c>
      <c r="I398" s="27">
        <f>IF(AND(ISNUMBER(SEARCH("Breakfast",$C398)),$D398="Western"),RAND(),"")</f>
        <v/>
      </c>
      <c r="J398" s="27">
        <f>IF(AND(ISNUMBER(SEARCH("Lunch",$C398)),$D398="Asian"),RAND(),"")</f>
        <v/>
      </c>
      <c r="K398" s="27">
        <f>IF(AND(ISNUMBER(SEARCH("Lunch",$C398)),$D398="Chinese"),RAND(),"")</f>
        <v/>
      </c>
      <c r="L398" s="27">
        <f>IF(AND(ISNUMBER(SEARCH("Lunch",$C398)),$D398="Western"),RAND(),"")</f>
        <v/>
      </c>
      <c r="M398" s="27">
        <f>IF(AND(ISNUMBER(SEARCH("Dinner",$C398)),$D398="Asian"),RAND(),"")</f>
        <v/>
      </c>
      <c r="N398" s="27">
        <f>IF(AND(ISNUMBER(SEARCH("Dinner",$C398)),$D398="Chinese"),RAND(),"")</f>
        <v/>
      </c>
      <c r="O398" s="27">
        <f>IF(AND(ISNUMBER(SEARCH("Dinner",$C398)),$D398="Western"),RAND(),"")</f>
        <v/>
      </c>
    </row>
    <row r="399" ht="15.75" customHeight="1" s="36">
      <c r="A399" s="22" t="inlineStr">
        <is>
          <t>Sirloin Steak</t>
        </is>
      </c>
      <c r="B399" s="22" t="inlineStr">
        <is>
          <t>Steak, Butter, Garlic</t>
        </is>
      </c>
      <c r="C399" s="21" t="inlineStr">
        <is>
          <t>Dinner</t>
        </is>
      </c>
      <c r="D399" s="30" t="inlineStr">
        <is>
          <t>Western</t>
        </is>
      </c>
      <c r="E399" s="21" t="inlineStr">
        <is>
          <t>Med</t>
        </is>
      </c>
      <c r="F399" s="23" t="inlineStr">
        <is>
          <t>https://youtu.be/AmC9SmCBUj4</t>
        </is>
      </c>
      <c r="G399" s="28">
        <f>IF(AND(ISNUMBER(SEARCH("Breakfast",$C399)),$D399="Asian"),RAND(),"")</f>
        <v/>
      </c>
      <c r="H399" s="28">
        <f>IF(AND(ISNUMBER(SEARCH("Breakfast",$C399)),$D399="Chinese"),RAND(),"")</f>
        <v/>
      </c>
      <c r="I399" s="28">
        <f>IF(AND(ISNUMBER(SEARCH("Breakfast",$C399)),$D399="Western"),RAND(),"")</f>
        <v/>
      </c>
      <c r="J399" s="28">
        <f>IF(AND(ISNUMBER(SEARCH("Lunch",$C399)),$D399="Asian"),RAND(),"")</f>
        <v/>
      </c>
      <c r="K399" s="28">
        <f>IF(AND(ISNUMBER(SEARCH("Lunch",$C399)),$D399="Chinese"),RAND(),"")</f>
        <v/>
      </c>
      <c r="L399" s="28">
        <f>IF(AND(ISNUMBER(SEARCH("Lunch",$C399)),$D399="Western"),RAND(),"")</f>
        <v/>
      </c>
      <c r="M399" s="28">
        <f>IF(AND(ISNUMBER(SEARCH("Dinner",$C399)),$D399="Asian"),RAND(),"")</f>
        <v/>
      </c>
      <c r="N399" s="28">
        <f>IF(AND(ISNUMBER(SEARCH("Dinner",$C399)),$D399="Chinese"),RAND(),"")</f>
        <v/>
      </c>
      <c r="O399" s="28">
        <f>IF(AND(ISNUMBER(SEARCH("Dinner",$C399)),$D399="Western"),RAND(),"")</f>
        <v/>
      </c>
    </row>
    <row r="400" ht="15.75" customHeight="1" s="36">
      <c r="A400" s="18" t="inlineStr">
        <is>
          <t>Small Squid</t>
        </is>
      </c>
      <c r="B400" s="18" t="inlineStr">
        <is>
          <t>Ginger, Spring Onion, Garlic, Chilli, Soya Sauce, Oyster Sauce, Rice Wine</t>
        </is>
      </c>
      <c r="C400" s="17" t="inlineStr">
        <is>
          <t>Dinner</t>
        </is>
      </c>
      <c r="D400" s="26" t="inlineStr">
        <is>
          <t>Chinese</t>
        </is>
      </c>
      <c r="E400" s="17" t="inlineStr">
        <is>
          <t>Med</t>
        </is>
      </c>
      <c r="F400" s="19" t="inlineStr">
        <is>
          <t>https://icook.tw/recipes/385363?utm_source=copy&amp;utm_medium=sharev3&amp;utm_campaign=recipe-share</t>
        </is>
      </c>
      <c r="G400" s="27">
        <f>IF(AND(ISNUMBER(SEARCH("Breakfast",$C400)),$D400="Asian"),RAND(),"")</f>
        <v/>
      </c>
      <c r="H400" s="27">
        <f>IF(AND(ISNUMBER(SEARCH("Breakfast",$C400)),$D400="Chinese"),RAND(),"")</f>
        <v/>
      </c>
      <c r="I400" s="27">
        <f>IF(AND(ISNUMBER(SEARCH("Breakfast",$C400)),$D400="Western"),RAND(),"")</f>
        <v/>
      </c>
      <c r="J400" s="27">
        <f>IF(AND(ISNUMBER(SEARCH("Lunch",$C400)),$D400="Asian"),RAND(),"")</f>
        <v/>
      </c>
      <c r="K400" s="27">
        <f>IF(AND(ISNUMBER(SEARCH("Lunch",$C400)),$D400="Chinese"),RAND(),"")</f>
        <v/>
      </c>
      <c r="L400" s="27">
        <f>IF(AND(ISNUMBER(SEARCH("Lunch",$C400)),$D400="Western"),RAND(),"")</f>
        <v/>
      </c>
      <c r="M400" s="27">
        <f>IF(AND(ISNUMBER(SEARCH("Dinner",$C400)),$D400="Asian"),RAND(),"")</f>
        <v/>
      </c>
      <c r="N400" s="27">
        <f>IF(AND(ISNUMBER(SEARCH("Dinner",$C400)),$D400="Chinese"),RAND(),"")</f>
        <v/>
      </c>
      <c r="O400" s="27">
        <f>IF(AND(ISNUMBER(SEARCH("Dinner",$C400)),$D400="Western"),RAND(),"")</f>
        <v/>
      </c>
    </row>
    <row r="401" ht="15.75" customHeight="1" s="36">
      <c r="A401" s="22" t="inlineStr">
        <is>
          <t>Songfa BKT</t>
        </is>
      </c>
      <c r="B401" s="22" t="inlineStr">
        <is>
          <t>BKT pack, garlic, Pork Ribs, 西施骨, 豬骨, Soup Pack</t>
        </is>
      </c>
      <c r="C401" s="21" t="inlineStr">
        <is>
          <t>Dinner</t>
        </is>
      </c>
      <c r="D401" s="26" t="inlineStr">
        <is>
          <t>Chinese</t>
        </is>
      </c>
      <c r="E401" s="21" t="inlineStr">
        <is>
          <t>High</t>
        </is>
      </c>
      <c r="F401" s="22" t="n"/>
      <c r="G401" s="28">
        <f>IF(AND(ISNUMBER(SEARCH("Breakfast",$C401)),$D401="Asian"),RAND(),"")</f>
        <v/>
      </c>
      <c r="H401" s="28">
        <f>IF(AND(ISNUMBER(SEARCH("Breakfast",$C401)),$D401="Chinese"),RAND(),"")</f>
        <v/>
      </c>
      <c r="I401" s="28">
        <f>IF(AND(ISNUMBER(SEARCH("Breakfast",$C401)),$D401="Western"),RAND(),"")</f>
        <v/>
      </c>
      <c r="J401" s="28">
        <f>IF(AND(ISNUMBER(SEARCH("Lunch",$C401)),$D401="Asian"),RAND(),"")</f>
        <v/>
      </c>
      <c r="K401" s="28">
        <f>IF(AND(ISNUMBER(SEARCH("Lunch",$C401)),$D401="Chinese"),RAND(),"")</f>
        <v/>
      </c>
      <c r="L401" s="28">
        <f>IF(AND(ISNUMBER(SEARCH("Lunch",$C401)),$D401="Western"),RAND(),"")</f>
        <v/>
      </c>
      <c r="M401" s="28">
        <f>IF(AND(ISNUMBER(SEARCH("Dinner",$C401)),$D401="Asian"),RAND(),"")</f>
        <v/>
      </c>
      <c r="N401" s="28">
        <f>IF(AND(ISNUMBER(SEARCH("Dinner",$C401)),$D401="Chinese"),RAND(),"")</f>
        <v/>
      </c>
      <c r="O401" s="28">
        <f>IF(AND(ISNUMBER(SEARCH("Dinner",$C401)),$D401="Western"),RAND(),"")</f>
        <v/>
      </c>
    </row>
    <row r="402" ht="15.75" customHeight="1" s="36">
      <c r="A402" s="18" t="inlineStr">
        <is>
          <t>Soondubu</t>
        </is>
      </c>
      <c r="B402" s="18" t="inlineStr">
        <is>
          <t>Tofu, Scallion, Onion, Zucchini, Sesame Oil, Gochugaru, Oyster Sauce, Soy Sauce, Garlic, Dashi Powder</t>
        </is>
      </c>
      <c r="C402" s="17" t="inlineStr">
        <is>
          <t>Dinner</t>
        </is>
      </c>
      <c r="D402" s="29" t="inlineStr">
        <is>
          <t>Asian</t>
        </is>
      </c>
      <c r="E402" s="17" t="inlineStr">
        <is>
          <t>Low</t>
        </is>
      </c>
      <c r="F402" s="19" t="inlineStr">
        <is>
          <t>https://www.cafemaddy.com/blog/k2l4q09uwbswrxym7ri49mieuqaxiw</t>
        </is>
      </c>
      <c r="G402" s="27">
        <f>IF(AND(ISNUMBER(SEARCH("Breakfast",$C402)),$D402="Asian"),RAND(),"")</f>
        <v/>
      </c>
      <c r="H402" s="27">
        <f>IF(AND(ISNUMBER(SEARCH("Breakfast",$C402)),$D402="Chinese"),RAND(),"")</f>
        <v/>
      </c>
      <c r="I402" s="27">
        <f>IF(AND(ISNUMBER(SEARCH("Breakfast",$C402)),$D402="Western"),RAND(),"")</f>
        <v/>
      </c>
      <c r="J402" s="27">
        <f>IF(AND(ISNUMBER(SEARCH("Lunch",$C402)),$D402="Asian"),RAND(),"")</f>
        <v/>
      </c>
      <c r="K402" s="27">
        <f>IF(AND(ISNUMBER(SEARCH("Lunch",$C402)),$D402="Chinese"),RAND(),"")</f>
        <v/>
      </c>
      <c r="L402" s="27">
        <f>IF(AND(ISNUMBER(SEARCH("Lunch",$C402)),$D402="Western"),RAND(),"")</f>
        <v/>
      </c>
      <c r="M402" s="27">
        <f>IF(AND(ISNUMBER(SEARCH("Dinner",$C402)),$D402="Asian"),RAND(),"")</f>
        <v/>
      </c>
      <c r="N402" s="27">
        <f>IF(AND(ISNUMBER(SEARCH("Dinner",$C402)),$D402="Chinese"),RAND(),"")</f>
        <v/>
      </c>
      <c r="O402" s="27">
        <f>IF(AND(ISNUMBER(SEARCH("Dinner",$C402)),$D402="Western"),RAND(),"")</f>
        <v/>
      </c>
    </row>
    <row r="403" ht="15.75" customHeight="1" s="36">
      <c r="A403" s="22" t="inlineStr">
        <is>
          <t>Soup</t>
        </is>
      </c>
      <c r="B403" s="22" t="inlineStr">
        <is>
          <t>Spareribs, Meat Ball, 粉葛, 赤小豆, 扁豆, 瘦肉, 蜜枣, Carrot, Dong Gu, Black Fungus, Enoki Mushroom, Tofu, Egg, White Pepper, Soy Sauce, White Vinegar, Corn Starch, Black Vinegar, Coriander, Spare ribs, Apple, Red dates</t>
        </is>
      </c>
      <c r="C403" s="21" t="inlineStr">
        <is>
          <t>Dinner</t>
        </is>
      </c>
      <c r="D403" s="26" t="inlineStr">
        <is>
          <t>Chinese</t>
        </is>
      </c>
      <c r="E403" s="21" t="inlineStr">
        <is>
          <t>High</t>
        </is>
      </c>
      <c r="F403" s="23" t="inlineStr">
        <is>
          <t>https://icook.tw/recipes/434444?utm_source=copy&amp;utm_medium=sharev3&amp;utm_campaign=recipe-share</t>
        </is>
      </c>
      <c r="G403" s="28">
        <f>IF(AND(ISNUMBER(SEARCH("Breakfast",$C403)),$D403="Asian"),RAND(),"")</f>
        <v/>
      </c>
      <c r="H403" s="28">
        <f>IF(AND(ISNUMBER(SEARCH("Breakfast",$C403)),$D403="Chinese"),RAND(),"")</f>
        <v/>
      </c>
      <c r="I403" s="28">
        <f>IF(AND(ISNUMBER(SEARCH("Breakfast",$C403)),$D403="Western"),RAND(),"")</f>
        <v/>
      </c>
      <c r="J403" s="28">
        <f>IF(AND(ISNUMBER(SEARCH("Lunch",$C403)),$D403="Asian"),RAND(),"")</f>
        <v/>
      </c>
      <c r="K403" s="28">
        <f>IF(AND(ISNUMBER(SEARCH("Lunch",$C403)),$D403="Chinese"),RAND(),"")</f>
        <v/>
      </c>
      <c r="L403" s="28">
        <f>IF(AND(ISNUMBER(SEARCH("Lunch",$C403)),$D403="Western"),RAND(),"")</f>
        <v/>
      </c>
      <c r="M403" s="28">
        <f>IF(AND(ISNUMBER(SEARCH("Dinner",$C403)),$D403="Asian"),RAND(),"")</f>
        <v/>
      </c>
      <c r="N403" s="28">
        <f>IF(AND(ISNUMBER(SEARCH("Dinner",$C403)),$D403="Chinese"),RAND(),"")</f>
        <v/>
      </c>
      <c r="O403" s="28">
        <f>IF(AND(ISNUMBER(SEARCH("Dinner",$C403)),$D403="Western"),RAND(),"")</f>
        <v/>
      </c>
      <c r="P403" s="0" t="b">
        <v>1</v>
      </c>
    </row>
    <row r="404" ht="15.75" customHeight="1" s="36">
      <c r="A404" s="18" t="inlineStr">
        <is>
          <t>Soup BCM</t>
        </is>
      </c>
      <c r="B404" s="18" t="inlineStr">
        <is>
          <t>Yellow noodles, Spring onion, Pork spare ribs, Soy bean, Anchovies, Minced pork, Corn starch, Soy sauce</t>
        </is>
      </c>
      <c r="C404" s="17" t="inlineStr">
        <is>
          <t>Lunch</t>
        </is>
      </c>
      <c r="D404" s="33" t="inlineStr">
        <is>
          <t>Chinese</t>
        </is>
      </c>
      <c r="E404" s="17" t="inlineStr">
        <is>
          <t>Low</t>
        </is>
      </c>
      <c r="F404" s="19" t="inlineStr">
        <is>
          <t>https://youtu.be/yTtxfT7J138</t>
        </is>
      </c>
      <c r="G404" s="27">
        <f>IF(AND(ISNUMBER(SEARCH("Breakfast",$C404)),$D404="Asian"),RAND(),"")</f>
        <v/>
      </c>
      <c r="H404" s="27">
        <f>IF(AND(ISNUMBER(SEARCH("Breakfast",$C404)),$D404="Chinese"),RAND(),"")</f>
        <v/>
      </c>
      <c r="I404" s="27">
        <f>IF(AND(ISNUMBER(SEARCH("Breakfast",$C404)),$D404="Western"),RAND(),"")</f>
        <v/>
      </c>
      <c r="J404" s="27">
        <f>IF(AND(ISNUMBER(SEARCH("Lunch",$C404)),$D404="Asian"),RAND(),"")</f>
        <v/>
      </c>
      <c r="K404" s="27">
        <f>IF(AND(ISNUMBER(SEARCH("Lunch",$C404)),$D404="Chinese"),RAND(),"")</f>
        <v/>
      </c>
      <c r="L404" s="27">
        <f>IF(AND(ISNUMBER(SEARCH("Lunch",$C404)),$D404="Western"),RAND(),"")</f>
        <v/>
      </c>
      <c r="M404" s="27">
        <f>IF(AND(ISNUMBER(SEARCH("Dinner",$C404)),$D404="Asian"),RAND(),"")</f>
        <v/>
      </c>
      <c r="N404" s="27">
        <f>IF(AND(ISNUMBER(SEARCH("Dinner",$C404)),$D404="Chinese"),RAND(),"")</f>
        <v/>
      </c>
      <c r="O404" s="27">
        <f>IF(AND(ISNUMBER(SEARCH("Dinner",$C404)),$D404="Western"),RAND(),"")</f>
        <v/>
      </c>
      <c r="P404" s="0" t="b">
        <v>1</v>
      </c>
    </row>
    <row r="405" ht="15.75" customHeight="1" s="36">
      <c r="A405" s="22" t="inlineStr">
        <is>
          <t>Soy &amp; Oyster Sauce Wings</t>
        </is>
      </c>
      <c r="B405" s="22" t="inlineStr">
        <is>
          <t>Chicken Wings, Spring Onion</t>
        </is>
      </c>
      <c r="C405" s="21" t="inlineStr">
        <is>
          <t>Dinner</t>
        </is>
      </c>
      <c r="D405" s="26" t="inlineStr">
        <is>
          <t>Chinese</t>
        </is>
      </c>
      <c r="E405" s="21" t="inlineStr">
        <is>
          <t>Med</t>
        </is>
      </c>
      <c r="F405" s="22" t="n"/>
      <c r="G405" s="28">
        <f>IF(AND(ISNUMBER(SEARCH("Breakfast",$C405)),$D405="Asian"),RAND(),"")</f>
        <v/>
      </c>
      <c r="H405" s="28">
        <f>IF(AND(ISNUMBER(SEARCH("Breakfast",$C405)),$D405="Chinese"),RAND(),"")</f>
        <v/>
      </c>
      <c r="I405" s="28">
        <f>IF(AND(ISNUMBER(SEARCH("Breakfast",$C405)),$D405="Western"),RAND(),"")</f>
        <v/>
      </c>
      <c r="J405" s="28">
        <f>IF(AND(ISNUMBER(SEARCH("Lunch",$C405)),$D405="Asian"),RAND(),"")</f>
        <v/>
      </c>
      <c r="K405" s="28">
        <f>IF(AND(ISNUMBER(SEARCH("Lunch",$C405)),$D405="Chinese"),RAND(),"")</f>
        <v/>
      </c>
      <c r="L405" s="28">
        <f>IF(AND(ISNUMBER(SEARCH("Lunch",$C405)),$D405="Western"),RAND(),"")</f>
        <v/>
      </c>
      <c r="M405" s="28">
        <f>IF(AND(ISNUMBER(SEARCH("Dinner",$C405)),$D405="Asian"),RAND(),"")</f>
        <v/>
      </c>
      <c r="N405" s="28">
        <f>IF(AND(ISNUMBER(SEARCH("Dinner",$C405)),$D405="Chinese"),RAND(),"")</f>
        <v/>
      </c>
      <c r="O405" s="28">
        <f>IF(AND(ISNUMBER(SEARCH("Dinner",$C405)),$D405="Western"),RAND(),"")</f>
        <v/>
      </c>
    </row>
    <row r="406" ht="15.75" customHeight="1" s="36">
      <c r="A406" s="18" t="inlineStr">
        <is>
          <t>Soy Sauce Chicken</t>
        </is>
      </c>
      <c r="B406" s="18" t="inlineStr">
        <is>
          <t>Chicken with Skin, Ginger, Spring Onion, Garlic, Soy Sauce, Oyster Sauce</t>
        </is>
      </c>
      <c r="C406" s="17" t="inlineStr">
        <is>
          <t>Dinner</t>
        </is>
      </c>
      <c r="D406" s="26" t="inlineStr">
        <is>
          <t>Chinese</t>
        </is>
      </c>
      <c r="E406" s="17" t="inlineStr">
        <is>
          <t>Med</t>
        </is>
      </c>
      <c r="F406" s="19" t="inlineStr">
        <is>
          <t>https://www.instagram.com/reel/C4uavXXIRna/?igsh=MXhvYzE0NzJpMjlkNQ==</t>
        </is>
      </c>
      <c r="G406" s="27">
        <f>IF(AND(ISNUMBER(SEARCH("Breakfast",$C406)),$D406="Asian"),RAND(),"")</f>
        <v/>
      </c>
      <c r="H406" s="27">
        <f>IF(AND(ISNUMBER(SEARCH("Breakfast",$C406)),$D406="Chinese"),RAND(),"")</f>
        <v/>
      </c>
      <c r="I406" s="27">
        <f>IF(AND(ISNUMBER(SEARCH("Breakfast",$C406)),$D406="Western"),RAND(),"")</f>
        <v/>
      </c>
      <c r="J406" s="27">
        <f>IF(AND(ISNUMBER(SEARCH("Lunch",$C406)),$D406="Asian"),RAND(),"")</f>
        <v/>
      </c>
      <c r="K406" s="27">
        <f>IF(AND(ISNUMBER(SEARCH("Lunch",$C406)),$D406="Chinese"),RAND(),"")</f>
        <v/>
      </c>
      <c r="L406" s="27">
        <f>IF(AND(ISNUMBER(SEARCH("Lunch",$C406)),$D406="Western"),RAND(),"")</f>
        <v/>
      </c>
      <c r="M406" s="27">
        <f>IF(AND(ISNUMBER(SEARCH("Dinner",$C406)),$D406="Asian"),RAND(),"")</f>
        <v/>
      </c>
      <c r="N406" s="27">
        <f>IF(AND(ISNUMBER(SEARCH("Dinner",$C406)),$D406="Chinese"),RAND(),"")</f>
        <v/>
      </c>
      <c r="O406" s="27">
        <f>IF(AND(ISNUMBER(SEARCH("Dinner",$C406)),$D406="Western"),RAND(),"")</f>
        <v/>
      </c>
    </row>
    <row r="407" ht="15.75" customHeight="1" s="36">
      <c r="A407" s="22" t="inlineStr">
        <is>
          <t>Soymilk Dan Dan Noodle</t>
        </is>
      </c>
      <c r="B407" s="22" t="inlineStr">
        <is>
          <t>Minced Pork, Udon, Garlic, Green Onion, Soy Milk, Chili bean paste, Sesame Paste, Peanut butter, Black Vinegar</t>
        </is>
      </c>
      <c r="C407" s="21" t="inlineStr">
        <is>
          <t>Lunch</t>
        </is>
      </c>
      <c r="D407" s="29" t="inlineStr">
        <is>
          <t>Asian</t>
        </is>
      </c>
      <c r="E407" s="21" t="inlineStr">
        <is>
          <t>Med</t>
        </is>
      </c>
      <c r="F407" s="23" t="inlineStr">
        <is>
          <t>https://www.instagram.com/p/Cf6e1L2Phb_/?igshid=N2NmMDY0OWE%3D</t>
        </is>
      </c>
      <c r="G407" s="28">
        <f>IF(AND(ISNUMBER(SEARCH("Breakfast",$C407)),$D407="Asian"),RAND(),"")</f>
        <v/>
      </c>
      <c r="H407" s="28">
        <f>IF(AND(ISNUMBER(SEARCH("Breakfast",$C407)),$D407="Chinese"),RAND(),"")</f>
        <v/>
      </c>
      <c r="I407" s="28">
        <f>IF(AND(ISNUMBER(SEARCH("Breakfast",$C407)),$D407="Western"),RAND(),"")</f>
        <v/>
      </c>
      <c r="J407" s="28">
        <f>IF(AND(ISNUMBER(SEARCH("Lunch",$C407)),$D407="Asian"),RAND(),"")</f>
        <v/>
      </c>
      <c r="K407" s="28">
        <f>IF(AND(ISNUMBER(SEARCH("Lunch",$C407)),$D407="Chinese"),RAND(),"")</f>
        <v/>
      </c>
      <c r="L407" s="28">
        <f>IF(AND(ISNUMBER(SEARCH("Lunch",$C407)),$D407="Western"),RAND(),"")</f>
        <v/>
      </c>
      <c r="M407" s="28">
        <f>IF(AND(ISNUMBER(SEARCH("Dinner",$C407)),$D407="Asian"),RAND(),"")</f>
        <v/>
      </c>
      <c r="N407" s="28">
        <f>IF(AND(ISNUMBER(SEARCH("Dinner",$C407)),$D407="Chinese"),RAND(),"")</f>
        <v/>
      </c>
      <c r="O407" s="28">
        <f>IF(AND(ISNUMBER(SEARCH("Dinner",$C407)),$D407="Western"),RAND(),"")</f>
        <v/>
      </c>
    </row>
    <row r="408" ht="15.75" customHeight="1" s="36">
      <c r="A408" s="18" t="inlineStr">
        <is>
          <t>Spanish Chicken and dirty rice</t>
        </is>
      </c>
      <c r="B408" s="18" t="inlineStr">
        <is>
          <t>Salt, Garlic Salt, Black Pepper, White Pepper, Paprika, chicken thighs, Onion, Celery, Bell peppers, Chorizo, Oregano, Garlic, Tomato Puree, Quinoa, White wine, Chicken stock, tomato, Lemon, Parsley</t>
        </is>
      </c>
      <c r="C408" s="17" t="inlineStr">
        <is>
          <t>Dinner</t>
        </is>
      </c>
      <c r="D408" s="33" t="inlineStr">
        <is>
          <t>Western</t>
        </is>
      </c>
      <c r="E408" s="17" t="inlineStr">
        <is>
          <t>Low</t>
        </is>
      </c>
      <c r="F408" s="19" t="inlineStr">
        <is>
          <t>https://youtu.be/EusTpzrqYK4</t>
        </is>
      </c>
      <c r="G408" s="27">
        <f>IF(AND(ISNUMBER(SEARCH("Breakfast",$C408)),$D408="Asian"),RAND(),"")</f>
        <v/>
      </c>
      <c r="H408" s="27">
        <f>IF(AND(ISNUMBER(SEARCH("Breakfast",$C408)),$D408="Chinese"),RAND(),"")</f>
        <v/>
      </c>
      <c r="I408" s="27">
        <f>IF(AND(ISNUMBER(SEARCH("Breakfast",$C408)),$D408="Western"),RAND(),"")</f>
        <v/>
      </c>
      <c r="J408" s="27">
        <f>IF(AND(ISNUMBER(SEARCH("Lunch",$C408)),$D408="Asian"),RAND(),"")</f>
        <v/>
      </c>
      <c r="K408" s="27">
        <f>IF(AND(ISNUMBER(SEARCH("Lunch",$C408)),$D408="Chinese"),RAND(),"")</f>
        <v/>
      </c>
      <c r="L408" s="27">
        <f>IF(AND(ISNUMBER(SEARCH("Lunch",$C408)),$D408="Western"),RAND(),"")</f>
        <v/>
      </c>
      <c r="M408" s="27">
        <f>IF(AND(ISNUMBER(SEARCH("Dinner",$C408)),$D408="Asian"),RAND(),"")</f>
        <v/>
      </c>
      <c r="N408" s="27">
        <f>IF(AND(ISNUMBER(SEARCH("Dinner",$C408)),$D408="Chinese"),RAND(),"")</f>
        <v/>
      </c>
      <c r="O408" s="27">
        <f>IF(AND(ISNUMBER(SEARCH("Dinner",$C408)),$D408="Western"),RAND(),"")</f>
        <v/>
      </c>
    </row>
    <row r="409" ht="15.75" customHeight="1" s="36">
      <c r="A409" s="22" t="inlineStr">
        <is>
          <t>Spare ribs</t>
        </is>
      </c>
      <c r="B409" s="22" t="inlineStr">
        <is>
          <t>Japanese leek, Yuzu jam, Rice wine, Balsamic vinegsr, Iced sugar, Garlic, Chilli</t>
        </is>
      </c>
      <c r="C409" s="21" t="inlineStr">
        <is>
          <t>Dinner</t>
        </is>
      </c>
      <c r="D409" s="29" t="inlineStr">
        <is>
          <t>Asian</t>
        </is>
      </c>
      <c r="E409" s="21" t="inlineStr">
        <is>
          <t>Med</t>
        </is>
      </c>
      <c r="F409" s="23" t="inlineStr">
        <is>
          <t>https://fb.watch/6Xk-8AVuoa/</t>
        </is>
      </c>
      <c r="G409" s="28">
        <f>IF(AND(ISNUMBER(SEARCH("Breakfast",$C409)),$D409="Asian"),RAND(),"")</f>
        <v/>
      </c>
      <c r="H409" s="28">
        <f>IF(AND(ISNUMBER(SEARCH("Breakfast",$C409)),$D409="Chinese"),RAND(),"")</f>
        <v/>
      </c>
      <c r="I409" s="28">
        <f>IF(AND(ISNUMBER(SEARCH("Breakfast",$C409)),$D409="Western"),RAND(),"")</f>
        <v/>
      </c>
      <c r="J409" s="28">
        <f>IF(AND(ISNUMBER(SEARCH("Lunch",$C409)),$D409="Asian"),RAND(),"")</f>
        <v/>
      </c>
      <c r="K409" s="28">
        <f>IF(AND(ISNUMBER(SEARCH("Lunch",$C409)),$D409="Chinese"),RAND(),"")</f>
        <v/>
      </c>
      <c r="L409" s="28">
        <f>IF(AND(ISNUMBER(SEARCH("Lunch",$C409)),$D409="Western"),RAND(),"")</f>
        <v/>
      </c>
      <c r="M409" s="28">
        <f>IF(AND(ISNUMBER(SEARCH("Dinner",$C409)),$D409="Asian"),RAND(),"")</f>
        <v/>
      </c>
      <c r="N409" s="28">
        <f>IF(AND(ISNUMBER(SEARCH("Dinner",$C409)),$D409="Chinese"),RAND(),"")</f>
        <v/>
      </c>
      <c r="O409" s="28">
        <f>IF(AND(ISNUMBER(SEARCH("Dinner",$C409)),$D409="Western"),RAND(),"")</f>
        <v/>
      </c>
    </row>
    <row r="410" ht="15.75" customHeight="1" s="36">
      <c r="A410" s="18" t="inlineStr">
        <is>
          <t>spinach</t>
        </is>
      </c>
      <c r="B410" s="18" t="inlineStr">
        <is>
          <t>Tofu, shimeiji mushroom, chicken stock, Egg, Salted Egg, Pidan Egg, Garlic</t>
        </is>
      </c>
      <c r="C410" s="17" t="inlineStr">
        <is>
          <t>Dinner</t>
        </is>
      </c>
      <c r="D410" s="26" t="inlineStr">
        <is>
          <t>Chinese</t>
        </is>
      </c>
      <c r="E410" s="17" t="inlineStr">
        <is>
          <t>High</t>
        </is>
      </c>
      <c r="F410" s="19" t="inlineStr">
        <is>
          <t>https://icook.tw/recipes/343215?utm_source=copy&amp;utm_medium=sharev3&amp;utm_campaign=recipe-share</t>
        </is>
      </c>
      <c r="G410" s="27">
        <f>IF(AND(ISNUMBER(SEARCH("Breakfast",$C410)),$D410="Asian"),RAND(),"")</f>
        <v/>
      </c>
      <c r="H410" s="27">
        <f>IF(AND(ISNUMBER(SEARCH("Breakfast",$C410)),$D410="Chinese"),RAND(),"")</f>
        <v/>
      </c>
      <c r="I410" s="27">
        <f>IF(AND(ISNUMBER(SEARCH("Breakfast",$C410)),$D410="Western"),RAND(),"")</f>
        <v/>
      </c>
      <c r="J410" s="27">
        <f>IF(AND(ISNUMBER(SEARCH("Lunch",$C410)),$D410="Asian"),RAND(),"")</f>
        <v/>
      </c>
      <c r="K410" s="27">
        <f>IF(AND(ISNUMBER(SEARCH("Lunch",$C410)),$D410="Chinese"),RAND(),"")</f>
        <v/>
      </c>
      <c r="L410" s="27">
        <f>IF(AND(ISNUMBER(SEARCH("Lunch",$C410)),$D410="Western"),RAND(),"")</f>
        <v/>
      </c>
      <c r="M410" s="27">
        <f>IF(AND(ISNUMBER(SEARCH("Dinner",$C410)),$D410="Asian"),RAND(),"")</f>
        <v/>
      </c>
      <c r="N410" s="27">
        <f>IF(AND(ISNUMBER(SEARCH("Dinner",$C410)),$D410="Chinese"),RAND(),"")</f>
        <v/>
      </c>
      <c r="O410" s="27">
        <f>IF(AND(ISNUMBER(SEARCH("Dinner",$C410)),$D410="Western"),RAND(),"")</f>
        <v/>
      </c>
    </row>
    <row r="411" ht="15.75" customHeight="1" s="36">
      <c r="A411" s="22" t="inlineStr">
        <is>
          <t>Spinach Banchan</t>
        </is>
      </c>
      <c r="B411" s="22" t="inlineStr">
        <is>
          <t>Spinach, Salt, Sesame Oil, Minced Garlic</t>
        </is>
      </c>
      <c r="C411" s="21" t="inlineStr">
        <is>
          <t>Dinner</t>
        </is>
      </c>
      <c r="D411" s="33" t="inlineStr">
        <is>
          <t>Chinese</t>
        </is>
      </c>
      <c r="E411" s="21" t="inlineStr">
        <is>
          <t>Low</t>
        </is>
      </c>
      <c r="F411" s="23" t="inlineStr">
        <is>
          <t>https://www.instagram.com/reel/C5In1iiObxP/?igsh=MTJkZXQ0MXdzd2FoZQ==</t>
        </is>
      </c>
      <c r="G411" s="28">
        <f>IF(AND(ISNUMBER(SEARCH("Breakfast",$C411)),$D411="Asian"),RAND(),"")</f>
        <v/>
      </c>
      <c r="H411" s="28">
        <f>IF(AND(ISNUMBER(SEARCH("Breakfast",$C411)),$D411="Chinese"),RAND(),"")</f>
        <v/>
      </c>
      <c r="I411" s="28">
        <f>IF(AND(ISNUMBER(SEARCH("Breakfast",$C411)),$D411="Western"),RAND(),"")</f>
        <v/>
      </c>
      <c r="J411" s="28">
        <f>IF(AND(ISNUMBER(SEARCH("Lunch",$C411)),$D411="Asian"),RAND(),"")</f>
        <v/>
      </c>
      <c r="K411" s="28">
        <f>IF(AND(ISNUMBER(SEARCH("Lunch",$C411)),$D411="Chinese"),RAND(),"")</f>
        <v/>
      </c>
      <c r="L411" s="28">
        <f>IF(AND(ISNUMBER(SEARCH("Lunch",$C411)),$D411="Western"),RAND(),"")</f>
        <v/>
      </c>
      <c r="M411" s="28">
        <f>IF(AND(ISNUMBER(SEARCH("Dinner",$C411)),$D411="Asian"),RAND(),"")</f>
        <v/>
      </c>
      <c r="N411" s="28">
        <f>IF(AND(ISNUMBER(SEARCH("Dinner",$C411)),$D411="Chinese"),RAND(),"")</f>
        <v/>
      </c>
      <c r="O411" s="28">
        <f>IF(AND(ISNUMBER(SEARCH("Dinner",$C411)),$D411="Western"),RAND(),"")</f>
        <v/>
      </c>
    </row>
    <row r="412" ht="15.75" customHeight="1" s="36">
      <c r="A412" s="18" t="inlineStr">
        <is>
          <t>Spinach Omelette</t>
        </is>
      </c>
      <c r="B412" s="18" t="inlineStr">
        <is>
          <t>Eggs, Milk, Spinach, Feta, Nutmeg</t>
        </is>
      </c>
      <c r="C412" s="17" t="inlineStr">
        <is>
          <t>Lunch</t>
        </is>
      </c>
      <c r="D412" s="30" t="inlineStr">
        <is>
          <t>Western</t>
        </is>
      </c>
      <c r="E412" s="17" t="inlineStr">
        <is>
          <t>High</t>
        </is>
      </c>
      <c r="F412" s="18" t="n"/>
      <c r="G412" s="27">
        <f>IF(AND(ISNUMBER(SEARCH("Breakfast",$C412)),$D412="Asian"),RAND(),"")</f>
        <v/>
      </c>
      <c r="H412" s="27">
        <f>IF(AND(ISNUMBER(SEARCH("Breakfast",$C412)),$D412="Chinese"),RAND(),"")</f>
        <v/>
      </c>
      <c r="I412" s="27">
        <f>IF(AND(ISNUMBER(SEARCH("Breakfast",$C412)),$D412="Western"),RAND(),"")</f>
        <v/>
      </c>
      <c r="J412" s="27">
        <f>IF(AND(ISNUMBER(SEARCH("Lunch",$C412)),$D412="Asian"),RAND(),"")</f>
        <v/>
      </c>
      <c r="K412" s="27">
        <f>IF(AND(ISNUMBER(SEARCH("Lunch",$C412)),$D412="Chinese"),RAND(),"")</f>
        <v/>
      </c>
      <c r="L412" s="27">
        <f>IF(AND(ISNUMBER(SEARCH("Lunch",$C412)),$D412="Western"),RAND(),"")</f>
        <v/>
      </c>
      <c r="M412" s="27">
        <f>IF(AND(ISNUMBER(SEARCH("Dinner",$C412)),$D412="Asian"),RAND(),"")</f>
        <v/>
      </c>
      <c r="N412" s="27">
        <f>IF(AND(ISNUMBER(SEARCH("Dinner",$C412)),$D412="Chinese"),RAND(),"")</f>
        <v/>
      </c>
      <c r="O412" s="27">
        <f>IF(AND(ISNUMBER(SEARCH("Dinner",$C412)),$D412="Western"),RAND(),"")</f>
        <v/>
      </c>
    </row>
    <row r="413" ht="15.75" customHeight="1" s="36">
      <c r="A413" s="22" t="inlineStr">
        <is>
          <t>Spring Onion</t>
        </is>
      </c>
      <c r="B413" s="22" t="inlineStr">
        <is>
          <t>Beef Slices, Carrot, Golden Mushroom, Sugar, Soya sauce, Oyster Sauce, Shichimi powder, Onion</t>
        </is>
      </c>
      <c r="C413" s="21" t="inlineStr">
        <is>
          <t>Dinner</t>
        </is>
      </c>
      <c r="D413" s="26" t="inlineStr">
        <is>
          <t>Chinese</t>
        </is>
      </c>
      <c r="E413" s="21" t="inlineStr">
        <is>
          <t>Med</t>
        </is>
      </c>
      <c r="F413" s="23" t="inlineStr">
        <is>
          <t>https://icook.tw/recipes/387915?utm_source=copy&amp;utm_medium=sharev3&amp;utm_campaign=recipe-share</t>
        </is>
      </c>
      <c r="G413" s="28">
        <f>IF(AND(ISNUMBER(SEARCH("Breakfast",$C413)),$D413="Asian"),RAND(),"")</f>
        <v/>
      </c>
      <c r="H413" s="28">
        <f>IF(AND(ISNUMBER(SEARCH("Breakfast",$C413)),$D413="Chinese"),RAND(),"")</f>
        <v/>
      </c>
      <c r="I413" s="28">
        <f>IF(AND(ISNUMBER(SEARCH("Breakfast",$C413)),$D413="Western"),RAND(),"")</f>
        <v/>
      </c>
      <c r="J413" s="28">
        <f>IF(AND(ISNUMBER(SEARCH("Lunch",$C413)),$D413="Asian"),RAND(),"")</f>
        <v/>
      </c>
      <c r="K413" s="28">
        <f>IF(AND(ISNUMBER(SEARCH("Lunch",$C413)),$D413="Chinese"),RAND(),"")</f>
        <v/>
      </c>
      <c r="L413" s="28">
        <f>IF(AND(ISNUMBER(SEARCH("Lunch",$C413)),$D413="Western"),RAND(),"")</f>
        <v/>
      </c>
      <c r="M413" s="28">
        <f>IF(AND(ISNUMBER(SEARCH("Dinner",$C413)),$D413="Asian"),RAND(),"")</f>
        <v/>
      </c>
      <c r="N413" s="28">
        <f>IF(AND(ISNUMBER(SEARCH("Dinner",$C413)),$D413="Chinese"),RAND(),"")</f>
        <v/>
      </c>
      <c r="O413" s="28">
        <f>IF(AND(ISNUMBER(SEARCH("Dinner",$C413)),$D413="Western"),RAND(),"")</f>
        <v/>
      </c>
    </row>
    <row r="414" ht="15.75" customHeight="1" s="36">
      <c r="A414" s="18" t="inlineStr">
        <is>
          <t>Sriracha lime-galzed</t>
        </is>
      </c>
      <c r="B414" s="18" t="inlineStr">
        <is>
          <t>Salmon Fillet, Sriracha, Garlic, Lime, Honey, Sesame Oil, Sesame Seeds</t>
        </is>
      </c>
      <c r="C414" s="17" t="inlineStr">
        <is>
          <t>Dinner</t>
        </is>
      </c>
      <c r="D414" s="33" t="inlineStr">
        <is>
          <t>Asian</t>
        </is>
      </c>
      <c r="E414" s="17" t="inlineStr">
        <is>
          <t>Low</t>
        </is>
      </c>
      <c r="F414" s="19" t="inlineStr">
        <is>
          <t>https://www.kitchenstories.com/en/recipes/sriracha-lime-glazed-salmon</t>
        </is>
      </c>
      <c r="G414" s="27">
        <f>IF(AND(ISNUMBER(SEARCH("Breakfast",$C414)),$D414="Asian"),RAND(),"")</f>
        <v/>
      </c>
      <c r="H414" s="27">
        <f>IF(AND(ISNUMBER(SEARCH("Breakfast",$C414)),$D414="Chinese"),RAND(),"")</f>
        <v/>
      </c>
      <c r="I414" s="27">
        <f>IF(AND(ISNUMBER(SEARCH("Breakfast",$C414)),$D414="Western"),RAND(),"")</f>
        <v/>
      </c>
      <c r="J414" s="27">
        <f>IF(AND(ISNUMBER(SEARCH("Lunch",$C414)),$D414="Asian"),RAND(),"")</f>
        <v/>
      </c>
      <c r="K414" s="27">
        <f>IF(AND(ISNUMBER(SEARCH("Lunch",$C414)),$D414="Chinese"),RAND(),"")</f>
        <v/>
      </c>
      <c r="L414" s="27">
        <f>IF(AND(ISNUMBER(SEARCH("Lunch",$C414)),$D414="Western"),RAND(),"")</f>
        <v/>
      </c>
      <c r="M414" s="27">
        <f>IF(AND(ISNUMBER(SEARCH("Dinner",$C414)),$D414="Asian"),RAND(),"")</f>
        <v/>
      </c>
      <c r="N414" s="27">
        <f>IF(AND(ISNUMBER(SEARCH("Dinner",$C414)),$D414="Chinese"),RAND(),"")</f>
        <v/>
      </c>
      <c r="O414" s="27">
        <f>IF(AND(ISNUMBER(SEARCH("Dinner",$C414)),$D414="Western"),RAND(),"")</f>
        <v/>
      </c>
    </row>
    <row r="415" ht="15.75" customHeight="1" s="36">
      <c r="A415" s="22" t="inlineStr">
        <is>
          <t>Steam Fish</t>
        </is>
      </c>
      <c r="B415" s="22" t="inlineStr">
        <is>
          <t>Spring Onion, Ginger slices, Soya Sauce, Sesame Oil, Fish, 比目鱼, 树子/破布子, Ginger, Rice Wine</t>
        </is>
      </c>
      <c r="C415" s="21" t="inlineStr">
        <is>
          <t>Dinner</t>
        </is>
      </c>
      <c r="D415" s="26" t="inlineStr">
        <is>
          <t>Chinese</t>
        </is>
      </c>
      <c r="E415" s="21" t="inlineStr">
        <is>
          <t>Med</t>
        </is>
      </c>
      <c r="F415" s="23" t="inlineStr">
        <is>
          <t>https://icook.tw/recipes/389368?utm_source=copy&amp;utm_medium=sharev3&amp;utm_campaign=recipe-share</t>
        </is>
      </c>
      <c r="G415" s="28">
        <f>IF(AND(ISNUMBER(SEARCH("Breakfast",$C415)),$D415="Asian"),RAND(),"")</f>
        <v/>
      </c>
      <c r="H415" s="28">
        <f>IF(AND(ISNUMBER(SEARCH("Breakfast",$C415)),$D415="Chinese"),RAND(),"")</f>
        <v/>
      </c>
      <c r="I415" s="28">
        <f>IF(AND(ISNUMBER(SEARCH("Breakfast",$C415)),$D415="Western"),RAND(),"")</f>
        <v/>
      </c>
      <c r="J415" s="28">
        <f>IF(AND(ISNUMBER(SEARCH("Lunch",$C415)),$D415="Asian"),RAND(),"")</f>
        <v/>
      </c>
      <c r="K415" s="28">
        <f>IF(AND(ISNUMBER(SEARCH("Lunch",$C415)),$D415="Chinese"),RAND(),"")</f>
        <v/>
      </c>
      <c r="L415" s="28">
        <f>IF(AND(ISNUMBER(SEARCH("Lunch",$C415)),$D415="Western"),RAND(),"")</f>
        <v/>
      </c>
      <c r="M415" s="28">
        <f>IF(AND(ISNUMBER(SEARCH("Dinner",$C415)),$D415="Asian"),RAND(),"")</f>
        <v/>
      </c>
      <c r="N415" s="28">
        <f>IF(AND(ISNUMBER(SEARCH("Dinner",$C415)),$D415="Chinese"),RAND(),"")</f>
        <v/>
      </c>
      <c r="O415" s="28">
        <f>IF(AND(ISNUMBER(SEARCH("Dinner",$C415)),$D415="Western"),RAND(),"")</f>
        <v/>
      </c>
    </row>
    <row r="416" ht="15.75" customHeight="1" s="36">
      <c r="A416" s="18" t="inlineStr">
        <is>
          <t>Steam Scallops</t>
        </is>
      </c>
      <c r="B416" s="31" t="inlineStr">
        <is>
          <t>扇贝, 粉丝, garlic, chicken stock, oyster sauce</t>
        </is>
      </c>
      <c r="C416" s="17" t="inlineStr">
        <is>
          <t>Dinner</t>
        </is>
      </c>
      <c r="D416" s="26" t="inlineStr">
        <is>
          <t>Chinese</t>
        </is>
      </c>
      <c r="E416" s="17" t="inlineStr">
        <is>
          <t>Med</t>
        </is>
      </c>
      <c r="F416" s="19" t="inlineStr">
        <is>
          <t>https://www.instagram.com/reel/CdQoageJg-E/?igshid=YmMyMTA2M2Y=</t>
        </is>
      </c>
      <c r="G416" s="27">
        <f>IF(AND(ISNUMBER(SEARCH("Breakfast",$C416)),$D416="Asian"),RAND(),"")</f>
        <v/>
      </c>
      <c r="H416" s="27">
        <f>IF(AND(ISNUMBER(SEARCH("Breakfast",$C416)),$D416="Chinese"),RAND(),"")</f>
        <v/>
      </c>
      <c r="I416" s="27">
        <f>IF(AND(ISNUMBER(SEARCH("Breakfast",$C416)),$D416="Western"),RAND(),"")</f>
        <v/>
      </c>
      <c r="J416" s="27">
        <f>IF(AND(ISNUMBER(SEARCH("Lunch",$C416)),$D416="Asian"),RAND(),"")</f>
        <v/>
      </c>
      <c r="K416" s="27">
        <f>IF(AND(ISNUMBER(SEARCH("Lunch",$C416)),$D416="Chinese"),RAND(),"")</f>
        <v/>
      </c>
      <c r="L416" s="27">
        <f>IF(AND(ISNUMBER(SEARCH("Lunch",$C416)),$D416="Western"),RAND(),"")</f>
        <v/>
      </c>
      <c r="M416" s="27">
        <f>IF(AND(ISNUMBER(SEARCH("Dinner",$C416)),$D416="Asian"),RAND(),"")</f>
        <v/>
      </c>
      <c r="N416" s="27">
        <f>IF(AND(ISNUMBER(SEARCH("Dinner",$C416)),$D416="Chinese"),RAND(),"")</f>
        <v/>
      </c>
      <c r="O416" s="27">
        <f>IF(AND(ISNUMBER(SEARCH("Dinner",$C416)),$D416="Western"),RAND(),"")</f>
        <v/>
      </c>
    </row>
    <row r="417" ht="15.75" customHeight="1" s="36">
      <c r="A417" s="22" t="inlineStr">
        <is>
          <t>Steamed Chicken with Chinese Sausage</t>
        </is>
      </c>
      <c r="B417" s="22" t="inlineStr">
        <is>
          <t>Shiitake Mushroom, Chinese sausage, Chicken Thighs, Oyster Sauce, Soy Sauce, Shaoxing Wine, White Pepper, Sugar, Salt, Sesame Oil, Cornstarch</t>
        </is>
      </c>
      <c r="C417" s="21" t="inlineStr">
        <is>
          <t>Dinner</t>
        </is>
      </c>
      <c r="D417" s="26" t="inlineStr">
        <is>
          <t>Chinese</t>
        </is>
      </c>
      <c r="E417" s="21" t="inlineStr">
        <is>
          <t>High</t>
        </is>
      </c>
      <c r="F417" s="23" t="inlineStr">
        <is>
          <t>https://www.instagram.com/reel/DGqA08CM38R/?igsh=MTYzb3VxcGswaHU2cw==</t>
        </is>
      </c>
      <c r="G417" s="28">
        <f>IF(AND(ISNUMBER(SEARCH("Breakfast",$C417)),$D417="Asian"),RAND(),"")</f>
        <v/>
      </c>
      <c r="H417" s="28">
        <f>IF(AND(ISNUMBER(SEARCH("Breakfast",$C417)),$D417="Chinese"),RAND(),"")</f>
        <v/>
      </c>
      <c r="I417" s="28">
        <f>IF(AND(ISNUMBER(SEARCH("Breakfast",$C417)),$D417="Western"),RAND(),"")</f>
        <v/>
      </c>
      <c r="J417" s="28">
        <f>IF(AND(ISNUMBER(SEARCH("Lunch",$C417)),$D417="Asian"),RAND(),"")</f>
        <v/>
      </c>
      <c r="K417" s="28">
        <f>IF(AND(ISNUMBER(SEARCH("Lunch",$C417)),$D417="Chinese"),RAND(),"")</f>
        <v/>
      </c>
      <c r="L417" s="28">
        <f>IF(AND(ISNUMBER(SEARCH("Lunch",$C417)),$D417="Western"),RAND(),"")</f>
        <v/>
      </c>
      <c r="M417" s="28">
        <f>IF(AND(ISNUMBER(SEARCH("Dinner",$C417)),$D417="Asian"),RAND(),"")</f>
        <v/>
      </c>
      <c r="N417" s="28">
        <f>IF(AND(ISNUMBER(SEARCH("Dinner",$C417)),$D417="Chinese"),RAND(),"")</f>
        <v/>
      </c>
      <c r="O417" s="28">
        <f>IF(AND(ISNUMBER(SEARCH("Dinner",$C417)),$D417="Western"),RAND(),"")</f>
        <v/>
      </c>
    </row>
    <row r="418" ht="15.75" customHeight="1" s="36">
      <c r="A418" s="18" t="inlineStr">
        <is>
          <t>Steamed Cod Fish</t>
        </is>
      </c>
      <c r="B418" s="18" t="inlineStr">
        <is>
          <t>Soy Sauce, Sugar, Cod Fish Fillet, Ginger, Shaoxing Wine, Spring Onion, Coriander</t>
        </is>
      </c>
      <c r="C418" s="17" t="inlineStr">
        <is>
          <t>Lunch</t>
        </is>
      </c>
      <c r="D418" s="30" t="inlineStr">
        <is>
          <t>Western</t>
        </is>
      </c>
      <c r="E418" s="17" t="inlineStr">
        <is>
          <t>Low</t>
        </is>
      </c>
      <c r="F418" s="19" t="inlineStr">
        <is>
          <t>https://www.instagram.com/reel/DEe2cWfzc2F/?igsh=Ym05OTg2NHByNHhn</t>
        </is>
      </c>
      <c r="G418" s="27">
        <f>IF(AND(ISNUMBER(SEARCH("Breakfast",$C418)),$D418="Asian"),RAND(),"")</f>
        <v/>
      </c>
      <c r="H418" s="27">
        <f>IF(AND(ISNUMBER(SEARCH("Breakfast",$C418)),$D418="Chinese"),RAND(),"")</f>
        <v/>
      </c>
      <c r="I418" s="27">
        <f>IF(AND(ISNUMBER(SEARCH("Breakfast",$C418)),$D418="Western"),RAND(),"")</f>
        <v/>
      </c>
      <c r="J418" s="27">
        <f>IF(AND(ISNUMBER(SEARCH("Lunch",$C418)),$D418="Asian"),RAND(),"")</f>
        <v/>
      </c>
      <c r="K418" s="27">
        <f>IF(AND(ISNUMBER(SEARCH("Lunch",$C418)),$D418="Chinese"),RAND(),"")</f>
        <v/>
      </c>
      <c r="L418" s="27">
        <f>IF(AND(ISNUMBER(SEARCH("Lunch",$C418)),$D418="Western"),RAND(),"")</f>
        <v/>
      </c>
      <c r="M418" s="27">
        <f>IF(AND(ISNUMBER(SEARCH("Dinner",$C418)),$D418="Asian"),RAND(),"")</f>
        <v/>
      </c>
      <c r="N418" s="27">
        <f>IF(AND(ISNUMBER(SEARCH("Dinner",$C418)),$D418="Chinese"),RAND(),"")</f>
        <v/>
      </c>
      <c r="O418" s="27">
        <f>IF(AND(ISNUMBER(SEARCH("Dinner",$C418)),$D418="Western"),RAND(),"")</f>
        <v/>
      </c>
    </row>
    <row r="419" ht="15.75" customHeight="1" s="36">
      <c r="A419" s="22" t="inlineStr">
        <is>
          <t>Steamed Egg</t>
        </is>
      </c>
      <c r="B419" s="22" t="inlineStr">
        <is>
          <t>Egg, 花甲lala, Chicken Stock, Chicken Broth, Scallions</t>
        </is>
      </c>
      <c r="C419" s="21" t="inlineStr">
        <is>
          <t>Lunch</t>
        </is>
      </c>
      <c r="D419" s="26" t="inlineStr">
        <is>
          <t>Chinese</t>
        </is>
      </c>
      <c r="E419" s="21" t="inlineStr">
        <is>
          <t>High</t>
        </is>
      </c>
      <c r="F419" s="23" t="inlineStr">
        <is>
          <t>https://www.instagram.com/p/CaHbu2espUE/?utm_medium=copy_link</t>
        </is>
      </c>
      <c r="G419" s="28">
        <f>IF(AND(ISNUMBER(SEARCH("Breakfast",$C419)),$D419="Asian"),RAND(),"")</f>
        <v/>
      </c>
      <c r="H419" s="28">
        <f>IF(AND(ISNUMBER(SEARCH("Breakfast",$C419)),$D419="Chinese"),RAND(),"")</f>
        <v/>
      </c>
      <c r="I419" s="28">
        <f>IF(AND(ISNUMBER(SEARCH("Breakfast",$C419)),$D419="Western"),RAND(),"")</f>
        <v/>
      </c>
      <c r="J419" s="28">
        <f>IF(AND(ISNUMBER(SEARCH("Lunch",$C419)),$D419="Asian"),RAND(),"")</f>
        <v/>
      </c>
      <c r="K419" s="28">
        <f>IF(AND(ISNUMBER(SEARCH("Lunch",$C419)),$D419="Chinese"),RAND(),"")</f>
        <v/>
      </c>
      <c r="L419" s="28">
        <f>IF(AND(ISNUMBER(SEARCH("Lunch",$C419)),$D419="Western"),RAND(),"")</f>
        <v/>
      </c>
      <c r="M419" s="28">
        <f>IF(AND(ISNUMBER(SEARCH("Dinner",$C419)),$D419="Asian"),RAND(),"")</f>
        <v/>
      </c>
      <c r="N419" s="28">
        <f>IF(AND(ISNUMBER(SEARCH("Dinner",$C419)),$D419="Chinese"),RAND(),"")</f>
        <v/>
      </c>
      <c r="O419" s="28">
        <f>IF(AND(ISNUMBER(SEARCH("Dinner",$C419)),$D419="Western"),RAND(),"")</f>
        <v/>
      </c>
    </row>
    <row r="420" ht="15.75" customHeight="1" s="36">
      <c r="A420" s="18" t="inlineStr">
        <is>
          <t>Steamed egg minced pork</t>
        </is>
      </c>
      <c r="B420" s="18" t="inlineStr">
        <is>
          <t>minced pork, salted egg, eggs, soy sauce, sesame oil, spring onion</t>
        </is>
      </c>
      <c r="C420" s="17" t="inlineStr">
        <is>
          <t>Dinner</t>
        </is>
      </c>
      <c r="D420" s="26" t="inlineStr">
        <is>
          <t>Chinese</t>
        </is>
      </c>
      <c r="E420" s="17" t="inlineStr">
        <is>
          <t>High</t>
        </is>
      </c>
      <c r="F420" s="19" t="inlineStr">
        <is>
          <t>https://www.instagram.com/reel/CxIiOjEpg7w/?igsh=MTc4MmM1YmI2Ng==</t>
        </is>
      </c>
      <c r="G420" s="27">
        <f>IF(AND(ISNUMBER(SEARCH("Breakfast",$C420)),$D420="Asian"),RAND(),"")</f>
        <v/>
      </c>
      <c r="H420" s="27">
        <f>IF(AND(ISNUMBER(SEARCH("Breakfast",$C420)),$D420="Chinese"),RAND(),"")</f>
        <v/>
      </c>
      <c r="I420" s="27">
        <f>IF(AND(ISNUMBER(SEARCH("Breakfast",$C420)),$D420="Western"),RAND(),"")</f>
        <v/>
      </c>
      <c r="J420" s="27">
        <f>IF(AND(ISNUMBER(SEARCH("Lunch",$C420)),$D420="Asian"),RAND(),"")</f>
        <v/>
      </c>
      <c r="K420" s="27">
        <f>IF(AND(ISNUMBER(SEARCH("Lunch",$C420)),$D420="Chinese"),RAND(),"")</f>
        <v/>
      </c>
      <c r="L420" s="27">
        <f>IF(AND(ISNUMBER(SEARCH("Lunch",$C420)),$D420="Western"),RAND(),"")</f>
        <v/>
      </c>
      <c r="M420" s="27">
        <f>IF(AND(ISNUMBER(SEARCH("Dinner",$C420)),$D420="Asian"),RAND(),"")</f>
        <v/>
      </c>
      <c r="N420" s="27">
        <f>IF(AND(ISNUMBER(SEARCH("Dinner",$C420)),$D420="Chinese"),RAND(),"")</f>
        <v/>
      </c>
      <c r="O420" s="27">
        <f>IF(AND(ISNUMBER(SEARCH("Dinner",$C420)),$D420="Western"),RAND(),"")</f>
        <v/>
      </c>
    </row>
    <row r="421" ht="15.75" customHeight="1" s="36">
      <c r="A421" s="22" t="inlineStr">
        <is>
          <t>Steamed Pumpkin</t>
        </is>
      </c>
      <c r="B421" s="22" t="inlineStr">
        <is>
          <t>Pumpkin, Spring Onion, Canned Corn</t>
        </is>
      </c>
      <c r="C421" s="21" t="inlineStr">
        <is>
          <t>Dinner</t>
        </is>
      </c>
      <c r="D421" s="33" t="inlineStr">
        <is>
          <t>Chinese</t>
        </is>
      </c>
      <c r="E421" s="21" t="inlineStr">
        <is>
          <t>Low</t>
        </is>
      </c>
      <c r="F421" s="23" t="inlineStr">
        <is>
          <t>https://icook.tw/recipes/337354?utm_source=copy&amp;utm_medium=sharev3&amp;utm_campaign=recipe-share</t>
        </is>
      </c>
      <c r="G421" s="28">
        <f>IF(AND(ISNUMBER(SEARCH("Breakfast",$C421)),$D421="Asian"),RAND(),"")</f>
        <v/>
      </c>
      <c r="H421" s="28">
        <f>IF(AND(ISNUMBER(SEARCH("Breakfast",$C421)),$D421="Chinese"),RAND(),"")</f>
        <v/>
      </c>
      <c r="I421" s="28">
        <f>IF(AND(ISNUMBER(SEARCH("Breakfast",$C421)),$D421="Western"),RAND(),"")</f>
        <v/>
      </c>
      <c r="J421" s="28">
        <f>IF(AND(ISNUMBER(SEARCH("Lunch",$C421)),$D421="Asian"),RAND(),"")</f>
        <v/>
      </c>
      <c r="K421" s="28">
        <f>IF(AND(ISNUMBER(SEARCH("Lunch",$C421)),$D421="Chinese"),RAND(),"")</f>
        <v/>
      </c>
      <c r="L421" s="28">
        <f>IF(AND(ISNUMBER(SEARCH("Lunch",$C421)),$D421="Western"),RAND(),"")</f>
        <v/>
      </c>
      <c r="M421" s="28">
        <f>IF(AND(ISNUMBER(SEARCH("Dinner",$C421)),$D421="Asian"),RAND(),"")</f>
        <v/>
      </c>
      <c r="N421" s="28">
        <f>IF(AND(ISNUMBER(SEARCH("Dinner",$C421)),$D421="Chinese"),RAND(),"")</f>
        <v/>
      </c>
      <c r="O421" s="28">
        <f>IF(AND(ISNUMBER(SEARCH("Dinner",$C421)),$D421="Western"),RAND(),"")</f>
        <v/>
      </c>
    </row>
    <row r="422" ht="15.75" customHeight="1" s="36">
      <c r="A422" s="18" t="inlineStr">
        <is>
          <t>Steamed Tofu</t>
        </is>
      </c>
      <c r="B422" s="18" t="inlineStr">
        <is>
          <t>Tofu, Ground Pork, Shitake Mushroom, Ginger, Basil Leaves, Corn Starch</t>
        </is>
      </c>
      <c r="C422" s="17" t="inlineStr">
        <is>
          <t>Dinner</t>
        </is>
      </c>
      <c r="D422" s="26" t="inlineStr">
        <is>
          <t>Chinese</t>
        </is>
      </c>
      <c r="E422" s="17" t="inlineStr">
        <is>
          <t>Med</t>
        </is>
      </c>
      <c r="F422" s="19" t="inlineStr">
        <is>
          <t>https://www.instagram.com/p/CNCcyKlAA6_/?utm_medium=copy_link</t>
        </is>
      </c>
      <c r="G422" s="27">
        <f>IF(AND(ISNUMBER(SEARCH("Breakfast",$C422)),$D422="Asian"),RAND(),"")</f>
        <v/>
      </c>
      <c r="H422" s="27">
        <f>IF(AND(ISNUMBER(SEARCH("Breakfast",$C422)),$D422="Chinese"),RAND(),"")</f>
        <v/>
      </c>
      <c r="I422" s="27">
        <f>IF(AND(ISNUMBER(SEARCH("Breakfast",$C422)),$D422="Western"),RAND(),"")</f>
        <v/>
      </c>
      <c r="J422" s="27">
        <f>IF(AND(ISNUMBER(SEARCH("Lunch",$C422)),$D422="Asian"),RAND(),"")</f>
        <v/>
      </c>
      <c r="K422" s="27">
        <f>IF(AND(ISNUMBER(SEARCH("Lunch",$C422)),$D422="Chinese"),RAND(),"")</f>
        <v/>
      </c>
      <c r="L422" s="27">
        <f>IF(AND(ISNUMBER(SEARCH("Lunch",$C422)),$D422="Western"),RAND(),"")</f>
        <v/>
      </c>
      <c r="M422" s="27">
        <f>IF(AND(ISNUMBER(SEARCH("Dinner",$C422)),$D422="Asian"),RAND(),"")</f>
        <v/>
      </c>
      <c r="N422" s="27">
        <f>IF(AND(ISNUMBER(SEARCH("Dinner",$C422)),$D422="Chinese"),RAND(),"")</f>
        <v/>
      </c>
      <c r="O422" s="27">
        <f>IF(AND(ISNUMBER(SEARCH("Dinner",$C422)),$D422="Western"),RAND(),"")</f>
        <v/>
      </c>
    </row>
    <row r="423" ht="15.75" customHeight="1" s="36">
      <c r="A423" s="22" t="inlineStr">
        <is>
          <t>Steamed tofu with pork</t>
        </is>
      </c>
      <c r="B423" s="22" t="inlineStr">
        <is>
          <t>Tofu, Ground pork, Shiitake mushroom, Ginger, Garlic, Basil, Oyster sauce, Soy sauce, Fish Sauce</t>
        </is>
      </c>
      <c r="C423" s="21" t="inlineStr">
        <is>
          <t>Dinner</t>
        </is>
      </c>
      <c r="D423" s="26" t="inlineStr">
        <is>
          <t>Chinese</t>
        </is>
      </c>
      <c r="E423" s="21" t="inlineStr">
        <is>
          <t>Med</t>
        </is>
      </c>
      <c r="F423" s="23" t="inlineStr">
        <is>
          <t>https://www.instagram.com/p/CNCcyKlAA6_/?igshid=MzRlODBiNWFlZA==</t>
        </is>
      </c>
      <c r="G423" s="28">
        <f>IF(AND(ISNUMBER(SEARCH("Breakfast",$C423)),$D423="Asian"),RAND(),"")</f>
        <v/>
      </c>
      <c r="H423" s="28">
        <f>IF(AND(ISNUMBER(SEARCH("Breakfast",$C423)),$D423="Chinese"),RAND(),"")</f>
        <v/>
      </c>
      <c r="I423" s="28">
        <f>IF(AND(ISNUMBER(SEARCH("Breakfast",$C423)),$D423="Western"),RAND(),"")</f>
        <v/>
      </c>
      <c r="J423" s="28">
        <f>IF(AND(ISNUMBER(SEARCH("Lunch",$C423)),$D423="Asian"),RAND(),"")</f>
        <v/>
      </c>
      <c r="K423" s="28">
        <f>IF(AND(ISNUMBER(SEARCH("Lunch",$C423)),$D423="Chinese"),RAND(),"")</f>
        <v/>
      </c>
      <c r="L423" s="28">
        <f>IF(AND(ISNUMBER(SEARCH("Lunch",$C423)),$D423="Western"),RAND(),"")</f>
        <v/>
      </c>
      <c r="M423" s="28">
        <f>IF(AND(ISNUMBER(SEARCH("Dinner",$C423)),$D423="Asian"),RAND(),"")</f>
        <v/>
      </c>
      <c r="N423" s="28">
        <f>IF(AND(ISNUMBER(SEARCH("Dinner",$C423)),$D423="Chinese"),RAND(),"")</f>
        <v/>
      </c>
      <c r="O423" s="28">
        <f>IF(AND(ISNUMBER(SEARCH("Dinner",$C423)),$D423="Western"),RAND(),"")</f>
        <v/>
      </c>
    </row>
    <row r="424" ht="15.75" customHeight="1" s="36">
      <c r="A424" s="18" t="inlineStr">
        <is>
          <t>Stir Fried Vege</t>
        </is>
      </c>
      <c r="B424" s="18" t="inlineStr">
        <is>
          <t>Maitake, 空心菜, Soya Sauce, Bonito Flakes</t>
        </is>
      </c>
      <c r="C424" s="17" t="inlineStr">
        <is>
          <t>Dinner</t>
        </is>
      </c>
      <c r="D424" s="26" t="inlineStr">
        <is>
          <t>Chinese</t>
        </is>
      </c>
      <c r="E424" s="17" t="inlineStr">
        <is>
          <t>Med</t>
        </is>
      </c>
      <c r="F424" s="19" t="inlineStr">
        <is>
          <t>https://icook.tw/recipes/352730?utm_source=copy&amp;utm_medium=sharev3&amp;utm_campaign=recipe-share</t>
        </is>
      </c>
      <c r="G424" s="27">
        <f>IF(AND(ISNUMBER(SEARCH("Breakfast",$C424)),$D424="Asian"),RAND(),"")</f>
        <v/>
      </c>
      <c r="H424" s="27">
        <f>IF(AND(ISNUMBER(SEARCH("Breakfast",$C424)),$D424="Chinese"),RAND(),"")</f>
        <v/>
      </c>
      <c r="I424" s="27">
        <f>IF(AND(ISNUMBER(SEARCH("Breakfast",$C424)),$D424="Western"),RAND(),"")</f>
        <v/>
      </c>
      <c r="J424" s="27">
        <f>IF(AND(ISNUMBER(SEARCH("Lunch",$C424)),$D424="Asian"),RAND(),"")</f>
        <v/>
      </c>
      <c r="K424" s="27">
        <f>IF(AND(ISNUMBER(SEARCH("Lunch",$C424)),$D424="Chinese"),RAND(),"")</f>
        <v/>
      </c>
      <c r="L424" s="27">
        <f>IF(AND(ISNUMBER(SEARCH("Lunch",$C424)),$D424="Western"),RAND(),"")</f>
        <v/>
      </c>
      <c r="M424" s="27">
        <f>IF(AND(ISNUMBER(SEARCH("Dinner",$C424)),$D424="Asian"),RAND(),"")</f>
        <v/>
      </c>
      <c r="N424" s="27">
        <f>IF(AND(ISNUMBER(SEARCH("Dinner",$C424)),$D424="Chinese"),RAND(),"")</f>
        <v/>
      </c>
      <c r="O424" s="27">
        <f>IF(AND(ISNUMBER(SEARCH("Dinner",$C424)),$D424="Western"),RAND(),"")</f>
        <v/>
      </c>
    </row>
    <row r="425" ht="15.75" customHeight="1" s="36">
      <c r="A425" s="22" t="inlineStr">
        <is>
          <t>Stir Fry Beans</t>
        </is>
      </c>
      <c r="B425" s="22" t="inlineStr">
        <is>
          <t>Si Ji Dou, Minced Meat, Salted Egg, Egg</t>
        </is>
      </c>
      <c r="C425" s="21" t="inlineStr">
        <is>
          <t>Dinner</t>
        </is>
      </c>
      <c r="D425" s="26" t="inlineStr">
        <is>
          <t>Chinese</t>
        </is>
      </c>
      <c r="E425" s="21" t="inlineStr">
        <is>
          <t>High</t>
        </is>
      </c>
      <c r="F425" s="23" t="inlineStr">
        <is>
          <t>https://icook.tw/recipes/333125?utm_source=copy&amp;utm_medium=sharev3&amp;utm_campaign=recipe-share</t>
        </is>
      </c>
      <c r="G425" s="28">
        <f>IF(AND(ISNUMBER(SEARCH("Breakfast",$C425)),$D425="Asian"),RAND(),"")</f>
        <v/>
      </c>
      <c r="H425" s="28">
        <f>IF(AND(ISNUMBER(SEARCH("Breakfast",$C425)),$D425="Chinese"),RAND(),"")</f>
        <v/>
      </c>
      <c r="I425" s="28">
        <f>IF(AND(ISNUMBER(SEARCH("Breakfast",$C425)),$D425="Western"),RAND(),"")</f>
        <v/>
      </c>
      <c r="J425" s="28">
        <f>IF(AND(ISNUMBER(SEARCH("Lunch",$C425)),$D425="Asian"),RAND(),"")</f>
        <v/>
      </c>
      <c r="K425" s="28">
        <f>IF(AND(ISNUMBER(SEARCH("Lunch",$C425)),$D425="Chinese"),RAND(),"")</f>
        <v/>
      </c>
      <c r="L425" s="28">
        <f>IF(AND(ISNUMBER(SEARCH("Lunch",$C425)),$D425="Western"),RAND(),"")</f>
        <v/>
      </c>
      <c r="M425" s="28">
        <f>IF(AND(ISNUMBER(SEARCH("Dinner",$C425)),$D425="Asian"),RAND(),"")</f>
        <v/>
      </c>
      <c r="N425" s="28">
        <f>IF(AND(ISNUMBER(SEARCH("Dinner",$C425)),$D425="Chinese"),RAND(),"")</f>
        <v/>
      </c>
      <c r="O425" s="28">
        <f>IF(AND(ISNUMBER(SEARCH("Dinner",$C425)),$D425="Western"),RAND(),"")</f>
        <v/>
      </c>
    </row>
    <row r="426" ht="15.75" customHeight="1" s="36">
      <c r="A426" s="18" t="inlineStr">
        <is>
          <t>Stir Fry Bell Peppers</t>
        </is>
      </c>
      <c r="B426" s="18" t="inlineStr">
        <is>
          <t>Bell Peppers, Carrot</t>
        </is>
      </c>
      <c r="C426" s="17" t="inlineStr">
        <is>
          <t>Dinner</t>
        </is>
      </c>
      <c r="D426" s="26" t="inlineStr">
        <is>
          <t>Chinese</t>
        </is>
      </c>
      <c r="E426" s="17" t="inlineStr">
        <is>
          <t>Med</t>
        </is>
      </c>
      <c r="F426" s="19" t="inlineStr">
        <is>
          <t>https://icook.tw/recipes/475941?utm_source=copy&amp;utm_medium=sharev3&amp;utm_campaign=recipe-share</t>
        </is>
      </c>
      <c r="G426" s="27">
        <f>IF(AND(ISNUMBER(SEARCH("Breakfast",$C426)),$D426="Asian"),RAND(),"")</f>
        <v/>
      </c>
      <c r="H426" s="27">
        <f>IF(AND(ISNUMBER(SEARCH("Breakfast",$C426)),$D426="Chinese"),RAND(),"")</f>
        <v/>
      </c>
      <c r="I426" s="27">
        <f>IF(AND(ISNUMBER(SEARCH("Breakfast",$C426)),$D426="Western"),RAND(),"")</f>
        <v/>
      </c>
      <c r="J426" s="27">
        <f>IF(AND(ISNUMBER(SEARCH("Lunch",$C426)),$D426="Asian"),RAND(),"")</f>
        <v/>
      </c>
      <c r="K426" s="27">
        <f>IF(AND(ISNUMBER(SEARCH("Lunch",$C426)),$D426="Chinese"),RAND(),"")</f>
        <v/>
      </c>
      <c r="L426" s="27">
        <f>IF(AND(ISNUMBER(SEARCH("Lunch",$C426)),$D426="Western"),RAND(),"")</f>
        <v/>
      </c>
      <c r="M426" s="27">
        <f>IF(AND(ISNUMBER(SEARCH("Dinner",$C426)),$D426="Asian"),RAND(),"")</f>
        <v/>
      </c>
      <c r="N426" s="27">
        <f>IF(AND(ISNUMBER(SEARCH("Dinner",$C426)),$D426="Chinese"),RAND(),"")</f>
        <v/>
      </c>
      <c r="O426" s="27">
        <f>IF(AND(ISNUMBER(SEARCH("Dinner",$C426)),$D426="Western"),RAND(),"")</f>
        <v/>
      </c>
    </row>
    <row r="427" ht="15.75" customHeight="1" s="36">
      <c r="A427" s="22" t="inlineStr">
        <is>
          <t>Stir fry cabbage</t>
        </is>
      </c>
      <c r="B427" s="22" t="inlineStr">
        <is>
          <t>Cabbage, Tuna Can</t>
        </is>
      </c>
      <c r="C427" s="21" t="inlineStr">
        <is>
          <t>Dinner</t>
        </is>
      </c>
      <c r="D427" s="26" t="inlineStr">
        <is>
          <t>Chinese</t>
        </is>
      </c>
      <c r="E427" s="21" t="inlineStr">
        <is>
          <t>Med</t>
        </is>
      </c>
      <c r="F427" s="23" t="inlineStr">
        <is>
          <t>https://icook.tw/recipes/435325?utm_source=copy&amp;utm_medium=sharev3&amp;utm_campaign=recipe-share</t>
        </is>
      </c>
      <c r="G427" s="28">
        <f>IF(AND(ISNUMBER(SEARCH("Breakfast",$C427)),$D427="Asian"),RAND(),"")</f>
        <v/>
      </c>
      <c r="H427" s="28">
        <f>IF(AND(ISNUMBER(SEARCH("Breakfast",$C427)),$D427="Chinese"),RAND(),"")</f>
        <v/>
      </c>
      <c r="I427" s="28">
        <f>IF(AND(ISNUMBER(SEARCH("Breakfast",$C427)),$D427="Western"),RAND(),"")</f>
        <v/>
      </c>
      <c r="J427" s="28">
        <f>IF(AND(ISNUMBER(SEARCH("Lunch",$C427)),$D427="Asian"),RAND(),"")</f>
        <v/>
      </c>
      <c r="K427" s="28">
        <f>IF(AND(ISNUMBER(SEARCH("Lunch",$C427)),$D427="Chinese"),RAND(),"")</f>
        <v/>
      </c>
      <c r="L427" s="28">
        <f>IF(AND(ISNUMBER(SEARCH("Lunch",$C427)),$D427="Western"),RAND(),"")</f>
        <v/>
      </c>
      <c r="M427" s="28">
        <f>IF(AND(ISNUMBER(SEARCH("Dinner",$C427)),$D427="Asian"),RAND(),"")</f>
        <v/>
      </c>
      <c r="N427" s="28">
        <f>IF(AND(ISNUMBER(SEARCH("Dinner",$C427)),$D427="Chinese"),RAND(),"")</f>
        <v/>
      </c>
      <c r="O427" s="28">
        <f>IF(AND(ISNUMBER(SEARCH("Dinner",$C427)),$D427="Western"),RAND(),"")</f>
        <v/>
      </c>
    </row>
    <row r="428" ht="15.75" customHeight="1" s="36">
      <c r="A428" s="18" t="inlineStr">
        <is>
          <t>Stir Fry Carrot And Zucchini</t>
        </is>
      </c>
      <c r="B428" s="18" t="inlineStr">
        <is>
          <t>Carrot, Zucchini, Onion</t>
        </is>
      </c>
      <c r="C428" s="17" t="inlineStr">
        <is>
          <t>Dinner</t>
        </is>
      </c>
      <c r="D428" s="26" t="inlineStr">
        <is>
          <t>Chinese</t>
        </is>
      </c>
      <c r="E428" s="17" t="inlineStr">
        <is>
          <t>Med</t>
        </is>
      </c>
      <c r="F428" s="19" t="inlineStr">
        <is>
          <t>https://icook.tw/recipes/452208?utm_source=copy&amp;utm_medium=sharev3&amp;utm_campaign=recipe-share</t>
        </is>
      </c>
      <c r="G428" s="27">
        <f>IF(AND(ISNUMBER(SEARCH("Breakfast",$C428)),$D428="Asian"),RAND(),"")</f>
        <v/>
      </c>
      <c r="H428" s="27">
        <f>IF(AND(ISNUMBER(SEARCH("Breakfast",$C428)),$D428="Chinese"),RAND(),"")</f>
        <v/>
      </c>
      <c r="I428" s="27">
        <f>IF(AND(ISNUMBER(SEARCH("Breakfast",$C428)),$D428="Western"),RAND(),"")</f>
        <v/>
      </c>
      <c r="J428" s="27">
        <f>IF(AND(ISNUMBER(SEARCH("Lunch",$C428)),$D428="Asian"),RAND(),"")</f>
        <v/>
      </c>
      <c r="K428" s="27">
        <f>IF(AND(ISNUMBER(SEARCH("Lunch",$C428)),$D428="Chinese"),RAND(),"")</f>
        <v/>
      </c>
      <c r="L428" s="27">
        <f>IF(AND(ISNUMBER(SEARCH("Lunch",$C428)),$D428="Western"),RAND(),"")</f>
        <v/>
      </c>
      <c r="M428" s="27">
        <f>IF(AND(ISNUMBER(SEARCH("Dinner",$C428)),$D428="Asian"),RAND(),"")</f>
        <v/>
      </c>
      <c r="N428" s="27">
        <f>IF(AND(ISNUMBER(SEARCH("Dinner",$C428)),$D428="Chinese"),RAND(),"")</f>
        <v/>
      </c>
      <c r="O428" s="27">
        <f>IF(AND(ISNUMBER(SEARCH("Dinner",$C428)),$D428="Western"),RAND(),"")</f>
        <v/>
      </c>
    </row>
    <row r="429" ht="15.75" customHeight="1" s="36">
      <c r="A429" s="22" t="inlineStr">
        <is>
          <t>Stir Fry Celuttuce</t>
        </is>
      </c>
      <c r="B429" s="32" t="inlineStr">
        <is>
          <t>莴笋, Garlic</t>
        </is>
      </c>
      <c r="C429" s="21" t="inlineStr">
        <is>
          <t>Dinner</t>
        </is>
      </c>
      <c r="D429" s="26" t="inlineStr">
        <is>
          <t>Chinese</t>
        </is>
      </c>
      <c r="E429" s="21" t="inlineStr">
        <is>
          <t>Med</t>
        </is>
      </c>
      <c r="F429" s="23" t="inlineStr">
        <is>
          <t>https://icook.tw/recipes/362629?utm_source=copy&amp;utm_medium=sharev3&amp;utm_campaign=recipe-share</t>
        </is>
      </c>
      <c r="G429" s="28">
        <f>IF(AND(ISNUMBER(SEARCH("Breakfast",$C429)),$D429="Asian"),RAND(),"")</f>
        <v/>
      </c>
      <c r="H429" s="28">
        <f>IF(AND(ISNUMBER(SEARCH("Breakfast",$C429)),$D429="Chinese"),RAND(),"")</f>
        <v/>
      </c>
      <c r="I429" s="28">
        <f>IF(AND(ISNUMBER(SEARCH("Breakfast",$C429)),$D429="Western"),RAND(),"")</f>
        <v/>
      </c>
      <c r="J429" s="28">
        <f>IF(AND(ISNUMBER(SEARCH("Lunch",$C429)),$D429="Asian"),RAND(),"")</f>
        <v/>
      </c>
      <c r="K429" s="28">
        <f>IF(AND(ISNUMBER(SEARCH("Lunch",$C429)),$D429="Chinese"),RAND(),"")</f>
        <v/>
      </c>
      <c r="L429" s="28">
        <f>IF(AND(ISNUMBER(SEARCH("Lunch",$C429)),$D429="Western"),RAND(),"")</f>
        <v/>
      </c>
      <c r="M429" s="28">
        <f>IF(AND(ISNUMBER(SEARCH("Dinner",$C429)),$D429="Asian"),RAND(),"")</f>
        <v/>
      </c>
      <c r="N429" s="28">
        <f>IF(AND(ISNUMBER(SEARCH("Dinner",$C429)),$D429="Chinese"),RAND(),"")</f>
        <v/>
      </c>
      <c r="O429" s="28">
        <f>IF(AND(ISNUMBER(SEARCH("Dinner",$C429)),$D429="Western"),RAND(),"")</f>
        <v/>
      </c>
    </row>
    <row r="430" ht="15.75" customHeight="1" s="36">
      <c r="A430" s="18" t="inlineStr">
        <is>
          <t>Stir Fry Chicken and Chestnut</t>
        </is>
      </c>
      <c r="B430" s="18" t="inlineStr">
        <is>
          <t>Chicken Thigh, 栗子, ginger, garlic, spring onion</t>
        </is>
      </c>
      <c r="C430" s="17" t="inlineStr">
        <is>
          <t>Dinner</t>
        </is>
      </c>
      <c r="D430" s="26" t="inlineStr">
        <is>
          <t>Chinese</t>
        </is>
      </c>
      <c r="E430" s="17" t="inlineStr">
        <is>
          <t>Med</t>
        </is>
      </c>
      <c r="F430" s="19" t="inlineStr">
        <is>
          <t>https://icook.tw/recipes/359548?utm_source=copy&amp;utm_medium=sharev3&amp;utm_campaign=recipe-share</t>
        </is>
      </c>
      <c r="G430" s="27">
        <f>IF(AND(ISNUMBER(SEARCH("Breakfast",$C430)),$D430="Asian"),RAND(),"")</f>
        <v/>
      </c>
      <c r="H430" s="27">
        <f>IF(AND(ISNUMBER(SEARCH("Breakfast",$C430)),$D430="Chinese"),RAND(),"")</f>
        <v/>
      </c>
      <c r="I430" s="27">
        <f>IF(AND(ISNUMBER(SEARCH("Breakfast",$C430)),$D430="Western"),RAND(),"")</f>
        <v/>
      </c>
      <c r="J430" s="27">
        <f>IF(AND(ISNUMBER(SEARCH("Lunch",$C430)),$D430="Asian"),RAND(),"")</f>
        <v/>
      </c>
      <c r="K430" s="27">
        <f>IF(AND(ISNUMBER(SEARCH("Lunch",$C430)),$D430="Chinese"),RAND(),"")</f>
        <v/>
      </c>
      <c r="L430" s="27">
        <f>IF(AND(ISNUMBER(SEARCH("Lunch",$C430)),$D430="Western"),RAND(),"")</f>
        <v/>
      </c>
      <c r="M430" s="27">
        <f>IF(AND(ISNUMBER(SEARCH("Dinner",$C430)),$D430="Asian"),RAND(),"")</f>
        <v/>
      </c>
      <c r="N430" s="27">
        <f>IF(AND(ISNUMBER(SEARCH("Dinner",$C430)),$D430="Chinese"),RAND(),"")</f>
        <v/>
      </c>
      <c r="O430" s="27">
        <f>IF(AND(ISNUMBER(SEARCH("Dinner",$C430)),$D430="Western"),RAND(),"")</f>
        <v/>
      </c>
    </row>
    <row r="431" ht="15.75" customHeight="1" s="36">
      <c r="A431" s="22" t="inlineStr">
        <is>
          <t>Stir Fry Egg</t>
        </is>
      </c>
      <c r="B431" s="22" t="inlineStr">
        <is>
          <t>Tomato, Eggs, Garlic, Ketchup, Chicken Powder, Paprika, Sugar, Cooking Cream, Parsley</t>
        </is>
      </c>
      <c r="C431" s="21" t="inlineStr">
        <is>
          <t>Dinner</t>
        </is>
      </c>
      <c r="D431" s="26" t="inlineStr">
        <is>
          <t>Chinese</t>
        </is>
      </c>
      <c r="E431" s="21" t="inlineStr">
        <is>
          <t>Med</t>
        </is>
      </c>
      <c r="F431" s="23" t="inlineStr">
        <is>
          <t>https://youtu.be/q28WMxVKTWQ</t>
        </is>
      </c>
      <c r="G431" s="28">
        <f>IF(AND(ISNUMBER(SEARCH("Breakfast",$C431)),$D431="Asian"),RAND(),"")</f>
        <v/>
      </c>
      <c r="H431" s="28">
        <f>IF(AND(ISNUMBER(SEARCH("Breakfast",$C431)),$D431="Chinese"),RAND(),"")</f>
        <v/>
      </c>
      <c r="I431" s="28">
        <f>IF(AND(ISNUMBER(SEARCH("Breakfast",$C431)),$D431="Western"),RAND(),"")</f>
        <v/>
      </c>
      <c r="J431" s="28">
        <f>IF(AND(ISNUMBER(SEARCH("Lunch",$C431)),$D431="Asian"),RAND(),"")</f>
        <v/>
      </c>
      <c r="K431" s="28">
        <f>IF(AND(ISNUMBER(SEARCH("Lunch",$C431)),$D431="Chinese"),RAND(),"")</f>
        <v/>
      </c>
      <c r="L431" s="28">
        <f>IF(AND(ISNUMBER(SEARCH("Lunch",$C431)),$D431="Western"),RAND(),"")</f>
        <v/>
      </c>
      <c r="M431" s="28">
        <f>IF(AND(ISNUMBER(SEARCH("Dinner",$C431)),$D431="Asian"),RAND(),"")</f>
        <v/>
      </c>
      <c r="N431" s="28">
        <f>IF(AND(ISNUMBER(SEARCH("Dinner",$C431)),$D431="Chinese"),RAND(),"")</f>
        <v/>
      </c>
      <c r="O431" s="28">
        <f>IF(AND(ISNUMBER(SEARCH("Dinner",$C431)),$D431="Western"),RAND(),"")</f>
        <v/>
      </c>
    </row>
    <row r="432" ht="15.75" customHeight="1" s="36">
      <c r="A432" s="18" t="inlineStr">
        <is>
          <t>Stir Fry Jie Gua</t>
        </is>
      </c>
      <c r="B432" s="18" t="inlineStr">
        <is>
          <t>Jie Gua, Black Fungus, Onion, Pork Neck, Soy Sauce, Chicken Stock, Shaoxing Wine, Sesame Oil, Oyster Sauce</t>
        </is>
      </c>
      <c r="C432" s="17" t="inlineStr">
        <is>
          <t>Dinner</t>
        </is>
      </c>
      <c r="D432" s="26" t="inlineStr">
        <is>
          <t>Chinese</t>
        </is>
      </c>
      <c r="E432" s="17" t="inlineStr">
        <is>
          <t>High</t>
        </is>
      </c>
      <c r="F432" s="19" t="inlineStr">
        <is>
          <t>https://icook.tw/recipes/419575?utm_source=copy&amp;utm_medium=sharev3&amp;utm_campaign=recipe-share</t>
        </is>
      </c>
      <c r="G432" s="27">
        <f>IF(AND(ISNUMBER(SEARCH("Breakfast",$C432)),$D432="Asian"),RAND(),"")</f>
        <v/>
      </c>
      <c r="H432" s="27">
        <f>IF(AND(ISNUMBER(SEARCH("Breakfast",$C432)),$D432="Chinese"),RAND(),"")</f>
        <v/>
      </c>
      <c r="I432" s="27">
        <f>IF(AND(ISNUMBER(SEARCH("Breakfast",$C432)),$D432="Western"),RAND(),"")</f>
        <v/>
      </c>
      <c r="J432" s="27">
        <f>IF(AND(ISNUMBER(SEARCH("Lunch",$C432)),$D432="Asian"),RAND(),"")</f>
        <v/>
      </c>
      <c r="K432" s="27">
        <f>IF(AND(ISNUMBER(SEARCH("Lunch",$C432)),$D432="Chinese"),RAND(),"")</f>
        <v/>
      </c>
      <c r="L432" s="27">
        <f>IF(AND(ISNUMBER(SEARCH("Lunch",$C432)),$D432="Western"),RAND(),"")</f>
        <v/>
      </c>
      <c r="M432" s="27">
        <f>IF(AND(ISNUMBER(SEARCH("Dinner",$C432)),$D432="Asian"),RAND(),"")</f>
        <v/>
      </c>
      <c r="N432" s="27">
        <f>IF(AND(ISNUMBER(SEARCH("Dinner",$C432)),$D432="Chinese"),RAND(),"")</f>
        <v/>
      </c>
      <c r="O432" s="27">
        <f>IF(AND(ISNUMBER(SEARCH("Dinner",$C432)),$D432="Western"),RAND(),"")</f>
        <v/>
      </c>
    </row>
    <row r="433" ht="15.75" customHeight="1" s="36">
      <c r="A433" s="22" t="inlineStr">
        <is>
          <t>Stir Fry Pork</t>
        </is>
      </c>
      <c r="B433" s="22" t="inlineStr">
        <is>
          <t>—</t>
        </is>
      </c>
      <c r="C433" s="21" t="inlineStr">
        <is>
          <t>Lunch</t>
        </is>
      </c>
      <c r="D433" s="26" t="inlineStr">
        <is>
          <t>Chinese</t>
        </is>
      </c>
      <c r="E433" s="21" t="inlineStr">
        <is>
          <t>Med</t>
        </is>
      </c>
      <c r="F433" s="22" t="n"/>
      <c r="G433" s="28">
        <f>IF(AND(ISNUMBER(SEARCH("Breakfast",$C433)),$D433="Asian"),RAND(),"")</f>
        <v/>
      </c>
      <c r="H433" s="28">
        <f>IF(AND(ISNUMBER(SEARCH("Breakfast",$C433)),$D433="Chinese"),RAND(),"")</f>
        <v/>
      </c>
      <c r="I433" s="28">
        <f>IF(AND(ISNUMBER(SEARCH("Breakfast",$C433)),$D433="Western"),RAND(),"")</f>
        <v/>
      </c>
      <c r="J433" s="28">
        <f>IF(AND(ISNUMBER(SEARCH("Lunch",$C433)),$D433="Asian"),RAND(),"")</f>
        <v/>
      </c>
      <c r="K433" s="28">
        <f>IF(AND(ISNUMBER(SEARCH("Lunch",$C433)),$D433="Chinese"),RAND(),"")</f>
        <v/>
      </c>
      <c r="L433" s="28">
        <f>IF(AND(ISNUMBER(SEARCH("Lunch",$C433)),$D433="Western"),RAND(),"")</f>
        <v/>
      </c>
      <c r="M433" s="28">
        <f>IF(AND(ISNUMBER(SEARCH("Dinner",$C433)),$D433="Asian"),RAND(),"")</f>
        <v/>
      </c>
      <c r="N433" s="28">
        <f>IF(AND(ISNUMBER(SEARCH("Dinner",$C433)),$D433="Chinese"),RAND(),"")</f>
        <v/>
      </c>
      <c r="O433" s="28">
        <f>IF(AND(ISNUMBER(SEARCH("Dinner",$C433)),$D433="Western"),RAND(),"")</f>
        <v/>
      </c>
    </row>
    <row r="434" ht="15.75" customHeight="1" s="36">
      <c r="A434" s="18" t="inlineStr">
        <is>
          <t>Stir Fry Potato Leaves</t>
        </is>
      </c>
      <c r="B434" s="18" t="inlineStr">
        <is>
          <t>Potato Leaves, Garlic, Soy Sauce</t>
        </is>
      </c>
      <c r="C434" s="17" t="inlineStr">
        <is>
          <t>Dinner</t>
        </is>
      </c>
      <c r="D434" s="26" t="inlineStr">
        <is>
          <t>Chinese</t>
        </is>
      </c>
      <c r="E434" s="17" t="inlineStr">
        <is>
          <t>Med</t>
        </is>
      </c>
      <c r="F434" s="19" t="inlineStr">
        <is>
          <t>https://icook.tw/recipes/421296?utm_source=copy&amp;utm_medium=sharev3&amp;utm_campaign=recipe-share</t>
        </is>
      </c>
      <c r="G434" s="27">
        <f>IF(AND(ISNUMBER(SEARCH("Breakfast",$C434)),$D434="Asian"),RAND(),"")</f>
        <v/>
      </c>
      <c r="H434" s="27">
        <f>IF(AND(ISNUMBER(SEARCH("Breakfast",$C434)),$D434="Chinese"),RAND(),"")</f>
        <v/>
      </c>
      <c r="I434" s="27">
        <f>IF(AND(ISNUMBER(SEARCH("Breakfast",$C434)),$D434="Western"),RAND(),"")</f>
        <v/>
      </c>
      <c r="J434" s="27">
        <f>IF(AND(ISNUMBER(SEARCH("Lunch",$C434)),$D434="Asian"),RAND(),"")</f>
        <v/>
      </c>
      <c r="K434" s="27">
        <f>IF(AND(ISNUMBER(SEARCH("Lunch",$C434)),$D434="Chinese"),RAND(),"")</f>
        <v/>
      </c>
      <c r="L434" s="27">
        <f>IF(AND(ISNUMBER(SEARCH("Lunch",$C434)),$D434="Western"),RAND(),"")</f>
        <v/>
      </c>
      <c r="M434" s="27">
        <f>IF(AND(ISNUMBER(SEARCH("Dinner",$C434)),$D434="Asian"),RAND(),"")</f>
        <v/>
      </c>
      <c r="N434" s="27">
        <f>IF(AND(ISNUMBER(SEARCH("Dinner",$C434)),$D434="Chinese"),RAND(),"")</f>
        <v/>
      </c>
      <c r="O434" s="27">
        <f>IF(AND(ISNUMBER(SEARCH("Dinner",$C434)),$D434="Western"),RAND(),"")</f>
        <v/>
      </c>
    </row>
    <row r="435" ht="15.75" customHeight="1" s="36">
      <c r="A435" s="22" t="inlineStr">
        <is>
          <t>Stir fry vege</t>
        </is>
      </c>
      <c r="B435" s="32" t="inlineStr">
        <is>
          <t>油麥菜, Garlic, minced meat, 学斗, enoki mushroom, Bell Pepper, Oil, Salt, Potato leaves, Chicken stock, Oyster sauce, Chinese Spinach, Red Bell Pepper, Shiitake Mushroom</t>
        </is>
      </c>
      <c r="C435" s="21" t="inlineStr">
        <is>
          <t>Dinner</t>
        </is>
      </c>
      <c r="D435" s="26" t="inlineStr">
        <is>
          <t>Chinese</t>
        </is>
      </c>
      <c r="E435" s="21" t="inlineStr">
        <is>
          <t>High</t>
        </is>
      </c>
      <c r="F435" s="23" t="inlineStr">
        <is>
          <t>https://icook.tw/recipes/396221?utm_source=copy&amp;utm_medium=sharev3&amp;utm_campaign=recipe-share</t>
        </is>
      </c>
      <c r="G435" s="28">
        <f>IF(AND(ISNUMBER(SEARCH("Breakfast",$C435)),$D435="Asian"),RAND(),"")</f>
        <v/>
      </c>
      <c r="H435" s="28">
        <f>IF(AND(ISNUMBER(SEARCH("Breakfast",$C435)),$D435="Chinese"),RAND(),"")</f>
        <v/>
      </c>
      <c r="I435" s="28">
        <f>IF(AND(ISNUMBER(SEARCH("Breakfast",$C435)),$D435="Western"),RAND(),"")</f>
        <v/>
      </c>
      <c r="J435" s="28">
        <f>IF(AND(ISNUMBER(SEARCH("Lunch",$C435)),$D435="Asian"),RAND(),"")</f>
        <v/>
      </c>
      <c r="K435" s="28">
        <f>IF(AND(ISNUMBER(SEARCH("Lunch",$C435)),$D435="Chinese"),RAND(),"")</f>
        <v/>
      </c>
      <c r="L435" s="28">
        <f>IF(AND(ISNUMBER(SEARCH("Lunch",$C435)),$D435="Western"),RAND(),"")</f>
        <v/>
      </c>
      <c r="M435" s="28">
        <f>IF(AND(ISNUMBER(SEARCH("Dinner",$C435)),$D435="Asian"),RAND(),"")</f>
        <v/>
      </c>
      <c r="N435" s="28">
        <f>IF(AND(ISNUMBER(SEARCH("Dinner",$C435)),$D435="Chinese"),RAND(),"")</f>
        <v/>
      </c>
      <c r="O435" s="28">
        <f>IF(AND(ISNUMBER(SEARCH("Dinner",$C435)),$D435="Western"),RAND(),"")</f>
        <v/>
      </c>
    </row>
    <row r="436" ht="15.75" customHeight="1" s="36">
      <c r="A436" s="18" t="inlineStr">
        <is>
          <t>Stirfry Celery with Bell Peppers</t>
        </is>
      </c>
      <c r="B436" s="18" t="inlineStr">
        <is>
          <t>Celery, Bell Pepper, Garlic, Mushroom MSG</t>
        </is>
      </c>
      <c r="C436" s="17" t="inlineStr">
        <is>
          <t>Dinner</t>
        </is>
      </c>
      <c r="D436" s="33" t="inlineStr">
        <is>
          <t>Chinese</t>
        </is>
      </c>
      <c r="E436" s="17" t="inlineStr">
        <is>
          <t>Low</t>
        </is>
      </c>
      <c r="F436" s="18" t="n"/>
      <c r="G436" s="27">
        <f>IF(AND(ISNUMBER(SEARCH("Breakfast",$C436)),$D436="Asian"),RAND(),"")</f>
        <v/>
      </c>
      <c r="H436" s="27">
        <f>IF(AND(ISNUMBER(SEARCH("Breakfast",$C436)),$D436="Chinese"),RAND(),"")</f>
        <v/>
      </c>
      <c r="I436" s="27">
        <f>IF(AND(ISNUMBER(SEARCH("Breakfast",$C436)),$D436="Western"),RAND(),"")</f>
        <v/>
      </c>
      <c r="J436" s="27">
        <f>IF(AND(ISNUMBER(SEARCH("Lunch",$C436)),$D436="Asian"),RAND(),"")</f>
        <v/>
      </c>
      <c r="K436" s="27">
        <f>IF(AND(ISNUMBER(SEARCH("Lunch",$C436)),$D436="Chinese"),RAND(),"")</f>
        <v/>
      </c>
      <c r="L436" s="27">
        <f>IF(AND(ISNUMBER(SEARCH("Lunch",$C436)),$D436="Western"),RAND(),"")</f>
        <v/>
      </c>
      <c r="M436" s="27">
        <f>IF(AND(ISNUMBER(SEARCH("Dinner",$C436)),$D436="Asian"),RAND(),"")</f>
        <v/>
      </c>
      <c r="N436" s="27">
        <f>IF(AND(ISNUMBER(SEARCH("Dinner",$C436)),$D436="Chinese"),RAND(),"")</f>
        <v/>
      </c>
      <c r="O436" s="27">
        <f>IF(AND(ISNUMBER(SEARCH("Dinner",$C436)),$D436="Western"),RAND(),"")</f>
        <v/>
      </c>
    </row>
    <row r="437" ht="15.75" customHeight="1" s="36">
      <c r="A437" s="22" t="inlineStr">
        <is>
          <t>Stuffed Cabbage Rolls</t>
        </is>
      </c>
      <c r="B437" s="22" t="inlineStr">
        <is>
          <t>Onion, Cabbage, Ground Beef, Egg, Panko, Milk, Nutmeg powder, Flour, Toothpick, Garlic, Diced tomato cans, White Wine, Chicken Broth, Butter</t>
        </is>
      </c>
      <c r="C437" s="21" t="inlineStr">
        <is>
          <t>Dinner</t>
        </is>
      </c>
      <c r="D437" s="33" t="inlineStr">
        <is>
          <t>Asian</t>
        </is>
      </c>
      <c r="E437" s="21" t="inlineStr">
        <is>
          <t>Low</t>
        </is>
      </c>
      <c r="F437" s="23" t="inlineStr">
        <is>
          <t>https://youtu.be/atX8fQbjbVk</t>
        </is>
      </c>
      <c r="G437" s="28">
        <f>IF(AND(ISNUMBER(SEARCH("Breakfast",$C437)),$D437="Asian"),RAND(),"")</f>
        <v/>
      </c>
      <c r="H437" s="28">
        <f>IF(AND(ISNUMBER(SEARCH("Breakfast",$C437)),$D437="Chinese"),RAND(),"")</f>
        <v/>
      </c>
      <c r="I437" s="28">
        <f>IF(AND(ISNUMBER(SEARCH("Breakfast",$C437)),$D437="Western"),RAND(),"")</f>
        <v/>
      </c>
      <c r="J437" s="28">
        <f>IF(AND(ISNUMBER(SEARCH("Lunch",$C437)),$D437="Asian"),RAND(),"")</f>
        <v/>
      </c>
      <c r="K437" s="28">
        <f>IF(AND(ISNUMBER(SEARCH("Lunch",$C437)),$D437="Chinese"),RAND(),"")</f>
        <v/>
      </c>
      <c r="L437" s="28">
        <f>IF(AND(ISNUMBER(SEARCH("Lunch",$C437)),$D437="Western"),RAND(),"")</f>
        <v/>
      </c>
      <c r="M437" s="28">
        <f>IF(AND(ISNUMBER(SEARCH("Dinner",$C437)),$D437="Asian"),RAND(),"")</f>
        <v/>
      </c>
      <c r="N437" s="28">
        <f>IF(AND(ISNUMBER(SEARCH("Dinner",$C437)),$D437="Chinese"),RAND(),"")</f>
        <v/>
      </c>
      <c r="O437" s="28">
        <f>IF(AND(ISNUMBER(SEARCH("Dinner",$C437)),$D437="Western"),RAND(),"")</f>
        <v/>
      </c>
    </row>
    <row r="438" ht="15.75" customHeight="1" s="36">
      <c r="A438" s="18" t="inlineStr">
        <is>
          <t>Stuffed Peppers</t>
        </is>
      </c>
      <c r="B438" s="18" t="inlineStr">
        <is>
          <t>Onion, Diced tomato, Spniach, CHeese, Bell Peppers, Quinoa, Garlic, Ground Pork</t>
        </is>
      </c>
      <c r="C438" s="17" t="inlineStr">
        <is>
          <t>Dinner</t>
        </is>
      </c>
      <c r="D438" s="33" t="inlineStr">
        <is>
          <t>Western</t>
        </is>
      </c>
      <c r="E438" s="17" t="inlineStr">
        <is>
          <t>Low</t>
        </is>
      </c>
      <c r="F438" s="19" t="inlineStr">
        <is>
          <t>https://youtu.be/FErWYjbiUGc</t>
        </is>
      </c>
      <c r="G438" s="27">
        <f>IF(AND(ISNUMBER(SEARCH("Breakfast",$C438)),$D438="Asian"),RAND(),"")</f>
        <v/>
      </c>
      <c r="H438" s="27">
        <f>IF(AND(ISNUMBER(SEARCH("Breakfast",$C438)),$D438="Chinese"),RAND(),"")</f>
        <v/>
      </c>
      <c r="I438" s="27">
        <f>IF(AND(ISNUMBER(SEARCH("Breakfast",$C438)),$D438="Western"),RAND(),"")</f>
        <v/>
      </c>
      <c r="J438" s="27">
        <f>IF(AND(ISNUMBER(SEARCH("Lunch",$C438)),$D438="Asian"),RAND(),"")</f>
        <v/>
      </c>
      <c r="K438" s="27">
        <f>IF(AND(ISNUMBER(SEARCH("Lunch",$C438)),$D438="Chinese"),RAND(),"")</f>
        <v/>
      </c>
      <c r="L438" s="27">
        <f>IF(AND(ISNUMBER(SEARCH("Lunch",$C438)),$D438="Western"),RAND(),"")</f>
        <v/>
      </c>
      <c r="M438" s="27">
        <f>IF(AND(ISNUMBER(SEARCH("Dinner",$C438)),$D438="Asian"),RAND(),"")</f>
        <v/>
      </c>
      <c r="N438" s="27">
        <f>IF(AND(ISNUMBER(SEARCH("Dinner",$C438)),$D438="Chinese"),RAND(),"")</f>
        <v/>
      </c>
      <c r="O438" s="27">
        <f>IF(AND(ISNUMBER(SEARCH("Dinner",$C438)),$D438="Western"),RAND(),"")</f>
        <v/>
      </c>
    </row>
    <row r="439" ht="15.75" customHeight="1" s="36">
      <c r="A439" s="22" t="inlineStr">
        <is>
          <t>Suan Pan zi</t>
        </is>
      </c>
      <c r="B439" s="22" t="inlineStr">
        <is>
          <t>minced pork, Dried Mushroom, Small Xia Mi, Shallots, Yam, Tapioca Flour, Black Fungus, Minced Meat, White Sesame, Xia mi</t>
        </is>
      </c>
      <c r="C439" s="21" t="inlineStr">
        <is>
          <t>Lunch</t>
        </is>
      </c>
      <c r="D439" s="33" t="inlineStr">
        <is>
          <t>Chinese</t>
        </is>
      </c>
      <c r="E439" s="21" t="inlineStr">
        <is>
          <t>Low</t>
        </is>
      </c>
      <c r="F439" s="23" t="inlineStr">
        <is>
          <t>https://youtu.be/XEaNtvX99Sg</t>
        </is>
      </c>
      <c r="G439" s="28">
        <f>IF(AND(ISNUMBER(SEARCH("Breakfast",$C439)),$D439="Asian"),RAND(),"")</f>
        <v/>
      </c>
      <c r="H439" s="28">
        <f>IF(AND(ISNUMBER(SEARCH("Breakfast",$C439)),$D439="Chinese"),RAND(),"")</f>
        <v/>
      </c>
      <c r="I439" s="28">
        <f>IF(AND(ISNUMBER(SEARCH("Breakfast",$C439)),$D439="Western"),RAND(),"")</f>
        <v/>
      </c>
      <c r="J439" s="28">
        <f>IF(AND(ISNUMBER(SEARCH("Lunch",$C439)),$D439="Asian"),RAND(),"")</f>
        <v/>
      </c>
      <c r="K439" s="28">
        <f>IF(AND(ISNUMBER(SEARCH("Lunch",$C439)),$D439="Chinese"),RAND(),"")</f>
        <v/>
      </c>
      <c r="L439" s="28">
        <f>IF(AND(ISNUMBER(SEARCH("Lunch",$C439)),$D439="Western"),RAND(),"")</f>
        <v/>
      </c>
      <c r="M439" s="28">
        <f>IF(AND(ISNUMBER(SEARCH("Dinner",$C439)),$D439="Asian"),RAND(),"")</f>
        <v/>
      </c>
      <c r="N439" s="28">
        <f>IF(AND(ISNUMBER(SEARCH("Dinner",$C439)),$D439="Chinese"),RAND(),"")</f>
        <v/>
      </c>
      <c r="O439" s="28">
        <f>IF(AND(ISNUMBER(SEARCH("Dinner",$C439)),$D439="Western"),RAND(),"")</f>
        <v/>
      </c>
    </row>
    <row r="440" ht="15.75" customHeight="1" s="36">
      <c r="A440" s="18" t="inlineStr">
        <is>
          <t>Summer Miso Soup</t>
        </is>
      </c>
      <c r="B440" s="18" t="inlineStr">
        <is>
          <t>tomato, Okra, Can Corn, Japanese Ginger, Dashi Soup, Miso, Potato, Pork Slices, Somen</t>
        </is>
      </c>
      <c r="C440" s="17" t="inlineStr">
        <is>
          <t>Dinner</t>
        </is>
      </c>
      <c r="D440" s="29" t="inlineStr">
        <is>
          <t>Asian</t>
        </is>
      </c>
      <c r="E440" s="17" t="inlineStr">
        <is>
          <t>High</t>
        </is>
      </c>
      <c r="F440" s="19" t="inlineStr">
        <is>
          <t>https://www.instagram.com/p/C-Pdwodv9fv/?igsh=a3Rrcnh4azdxZ2w2</t>
        </is>
      </c>
      <c r="G440" s="27">
        <f>IF(AND(ISNUMBER(SEARCH("Breakfast",$C440)),$D440="Asian"),RAND(),"")</f>
        <v/>
      </c>
      <c r="H440" s="27">
        <f>IF(AND(ISNUMBER(SEARCH("Breakfast",$C440)),$D440="Chinese"),RAND(),"")</f>
        <v/>
      </c>
      <c r="I440" s="27">
        <f>IF(AND(ISNUMBER(SEARCH("Breakfast",$C440)),$D440="Western"),RAND(),"")</f>
        <v/>
      </c>
      <c r="J440" s="27">
        <f>IF(AND(ISNUMBER(SEARCH("Lunch",$C440)),$D440="Asian"),RAND(),"")</f>
        <v/>
      </c>
      <c r="K440" s="27">
        <f>IF(AND(ISNUMBER(SEARCH("Lunch",$C440)),$D440="Chinese"),RAND(),"")</f>
        <v/>
      </c>
      <c r="L440" s="27">
        <f>IF(AND(ISNUMBER(SEARCH("Lunch",$C440)),$D440="Western"),RAND(),"")</f>
        <v/>
      </c>
      <c r="M440" s="27">
        <f>IF(AND(ISNUMBER(SEARCH("Dinner",$C440)),$D440="Asian"),RAND(),"")</f>
        <v/>
      </c>
      <c r="N440" s="27">
        <f>IF(AND(ISNUMBER(SEARCH("Dinner",$C440)),$D440="Chinese"),RAND(),"")</f>
        <v/>
      </c>
      <c r="O440" s="27">
        <f>IF(AND(ISNUMBER(SEARCH("Dinner",$C440)),$D440="Western"),RAND(),"")</f>
        <v/>
      </c>
      <c r="P440" s="0" t="b">
        <v>1</v>
      </c>
    </row>
    <row r="441" ht="15.75" customHeight="1" s="36">
      <c r="A441" s="22" t="inlineStr">
        <is>
          <t>Sunomono</t>
        </is>
      </c>
      <c r="B441" s="22" t="inlineStr">
        <is>
          <t>Cucumber, Wakame, Rice Vinegar, Shrimp</t>
        </is>
      </c>
      <c r="C441" s="21" t="inlineStr">
        <is>
          <t>Dinner</t>
        </is>
      </c>
      <c r="D441" s="33" t="inlineStr">
        <is>
          <t>Asian</t>
        </is>
      </c>
      <c r="E441" s="21" t="inlineStr">
        <is>
          <t>Low</t>
        </is>
      </c>
      <c r="F441" s="23" t="inlineStr">
        <is>
          <t>https://youtu.be/u4UG6kuAMoI</t>
        </is>
      </c>
      <c r="G441" s="28">
        <f>IF(AND(ISNUMBER(SEARCH("Breakfast",$C441)),$D441="Asian"),RAND(),"")</f>
        <v/>
      </c>
      <c r="H441" s="28">
        <f>IF(AND(ISNUMBER(SEARCH("Breakfast",$C441)),$D441="Chinese"),RAND(),"")</f>
        <v/>
      </c>
      <c r="I441" s="28">
        <f>IF(AND(ISNUMBER(SEARCH("Breakfast",$C441)),$D441="Western"),RAND(),"")</f>
        <v/>
      </c>
      <c r="J441" s="28">
        <f>IF(AND(ISNUMBER(SEARCH("Lunch",$C441)),$D441="Asian"),RAND(),"")</f>
        <v/>
      </c>
      <c r="K441" s="28">
        <f>IF(AND(ISNUMBER(SEARCH("Lunch",$C441)),$D441="Chinese"),RAND(),"")</f>
        <v/>
      </c>
      <c r="L441" s="28">
        <f>IF(AND(ISNUMBER(SEARCH("Lunch",$C441)),$D441="Western"),RAND(),"")</f>
        <v/>
      </c>
      <c r="M441" s="28">
        <f>IF(AND(ISNUMBER(SEARCH("Dinner",$C441)),$D441="Asian"),RAND(),"")</f>
        <v/>
      </c>
      <c r="N441" s="28">
        <f>IF(AND(ISNUMBER(SEARCH("Dinner",$C441)),$D441="Chinese"),RAND(),"")</f>
        <v/>
      </c>
      <c r="O441" s="28">
        <f>IF(AND(ISNUMBER(SEARCH("Dinner",$C441)),$D441="Western"),RAND(),"")</f>
        <v/>
      </c>
    </row>
    <row r="442" ht="15.75" customHeight="1" s="36">
      <c r="A442" s="18" t="inlineStr">
        <is>
          <t>Swedish Fish Soup</t>
        </is>
      </c>
      <c r="B442" s="18" t="inlineStr">
        <is>
          <t>Yellow Onion, Carrot, Potato, Garlic, Olive Oil, Saffron, Paprika, Ketchup, Fish Broth, White Wine, Diced Tomato Can, Bay Leaf, Thyme, Salmon, fish</t>
        </is>
      </c>
      <c r="C442" s="17" t="inlineStr">
        <is>
          <t>Dinner</t>
        </is>
      </c>
      <c r="D442" s="33" t="inlineStr">
        <is>
          <t>Western</t>
        </is>
      </c>
      <c r="E442" s="17" t="inlineStr">
        <is>
          <t>Low</t>
        </is>
      </c>
      <c r="F442" s="19" t="inlineStr">
        <is>
          <t>https://nordicmuseum.org/news/scandinavian-seafood-soup-fisksoppa-makes-perfect-winter-supper</t>
        </is>
      </c>
      <c r="G442" s="27">
        <f>IF(AND(ISNUMBER(SEARCH("Breakfast",$C442)),$D442="Asian"),RAND(),"")</f>
        <v/>
      </c>
      <c r="H442" s="27">
        <f>IF(AND(ISNUMBER(SEARCH("Breakfast",$C442)),$D442="Chinese"),RAND(),"")</f>
        <v/>
      </c>
      <c r="I442" s="27">
        <f>IF(AND(ISNUMBER(SEARCH("Breakfast",$C442)),$D442="Western"),RAND(),"")</f>
        <v/>
      </c>
      <c r="J442" s="27">
        <f>IF(AND(ISNUMBER(SEARCH("Lunch",$C442)),$D442="Asian"),RAND(),"")</f>
        <v/>
      </c>
      <c r="K442" s="27">
        <f>IF(AND(ISNUMBER(SEARCH("Lunch",$C442)),$D442="Chinese"),RAND(),"")</f>
        <v/>
      </c>
      <c r="L442" s="27">
        <f>IF(AND(ISNUMBER(SEARCH("Lunch",$C442)),$D442="Western"),RAND(),"")</f>
        <v/>
      </c>
      <c r="M442" s="27">
        <f>IF(AND(ISNUMBER(SEARCH("Dinner",$C442)),$D442="Asian"),RAND(),"")</f>
        <v/>
      </c>
      <c r="N442" s="27">
        <f>IF(AND(ISNUMBER(SEARCH("Dinner",$C442)),$D442="Chinese"),RAND(),"")</f>
        <v/>
      </c>
      <c r="O442" s="27">
        <f>IF(AND(ISNUMBER(SEARCH("Dinner",$C442)),$D442="Western"),RAND(),"")</f>
        <v/>
      </c>
      <c r="P442" s="0" t="b">
        <v>1</v>
      </c>
    </row>
    <row r="443" ht="15.75" customHeight="1" s="36">
      <c r="A443" s="22" t="inlineStr">
        <is>
          <t>Sweet Potato Bell Peppers</t>
        </is>
      </c>
      <c r="B443" s="22" t="inlineStr">
        <is>
          <t>Sweet Potato, Red Bell Peppers, Egg, Cheese Slices</t>
        </is>
      </c>
      <c r="C443" s="21" t="inlineStr">
        <is>
          <t>Dinner</t>
        </is>
      </c>
      <c r="D443" s="33" t="inlineStr">
        <is>
          <t>Western</t>
        </is>
      </c>
      <c r="E443" s="21" t="inlineStr">
        <is>
          <t>Low</t>
        </is>
      </c>
      <c r="F443" s="23" t="inlineStr">
        <is>
          <t>https://icook.tw/recipes/478697?utm_source=copy&amp;utm_medium=sharev3&amp;utm_campaign=recipe-share</t>
        </is>
      </c>
      <c r="G443" s="28">
        <f>IF(AND(ISNUMBER(SEARCH("Breakfast",$C443)),$D443="Asian"),RAND(),"")</f>
        <v/>
      </c>
      <c r="H443" s="28">
        <f>IF(AND(ISNUMBER(SEARCH("Breakfast",$C443)),$D443="Chinese"),RAND(),"")</f>
        <v/>
      </c>
      <c r="I443" s="28">
        <f>IF(AND(ISNUMBER(SEARCH("Breakfast",$C443)),$D443="Western"),RAND(),"")</f>
        <v/>
      </c>
      <c r="J443" s="28">
        <f>IF(AND(ISNUMBER(SEARCH("Lunch",$C443)),$D443="Asian"),RAND(),"")</f>
        <v/>
      </c>
      <c r="K443" s="28">
        <f>IF(AND(ISNUMBER(SEARCH("Lunch",$C443)),$D443="Chinese"),RAND(),"")</f>
        <v/>
      </c>
      <c r="L443" s="28">
        <f>IF(AND(ISNUMBER(SEARCH("Lunch",$C443)),$D443="Western"),RAND(),"")</f>
        <v/>
      </c>
      <c r="M443" s="28">
        <f>IF(AND(ISNUMBER(SEARCH("Dinner",$C443)),$D443="Asian"),RAND(),"")</f>
        <v/>
      </c>
      <c r="N443" s="28">
        <f>IF(AND(ISNUMBER(SEARCH("Dinner",$C443)),$D443="Chinese"),RAND(),"")</f>
        <v/>
      </c>
      <c r="O443" s="28">
        <f>IF(AND(ISNUMBER(SEARCH("Dinner",$C443)),$D443="Western"),RAND(),"")</f>
        <v/>
      </c>
    </row>
    <row r="444" ht="15.75" customHeight="1" s="36">
      <c r="A444" s="18" t="inlineStr">
        <is>
          <t>Sweet Potato Chips</t>
        </is>
      </c>
      <c r="B444" s="18" t="inlineStr">
        <is>
          <t>Sweet Potato, Salt</t>
        </is>
      </c>
      <c r="C444" s="17" t="inlineStr">
        <is>
          <t>Dinner</t>
        </is>
      </c>
      <c r="D444" s="33" t="inlineStr">
        <is>
          <t>Western</t>
        </is>
      </c>
      <c r="E444" s="17" t="inlineStr">
        <is>
          <t>Low</t>
        </is>
      </c>
      <c r="F444" s="19" t="inlineStr">
        <is>
          <t>https://www.instagram.com/reel/DQ9L0V6jhB9/?igsh=bmNudjA3NmkzMHBm</t>
        </is>
      </c>
      <c r="G444" s="27">
        <f>IF(AND(ISNUMBER(SEARCH("Breakfast",$C444)),$D444="Asian"),RAND(),"")</f>
        <v/>
      </c>
      <c r="H444" s="27">
        <f>IF(AND(ISNUMBER(SEARCH("Breakfast",$C444)),$D444="Chinese"),RAND(),"")</f>
        <v/>
      </c>
      <c r="I444" s="27">
        <f>IF(AND(ISNUMBER(SEARCH("Breakfast",$C444)),$D444="Western"),RAND(),"")</f>
        <v/>
      </c>
      <c r="J444" s="27">
        <f>IF(AND(ISNUMBER(SEARCH("Lunch",$C444)),$D444="Asian"),RAND(),"")</f>
        <v/>
      </c>
      <c r="K444" s="27">
        <f>IF(AND(ISNUMBER(SEARCH("Lunch",$C444)),$D444="Chinese"),RAND(),"")</f>
        <v/>
      </c>
      <c r="L444" s="27">
        <f>IF(AND(ISNUMBER(SEARCH("Lunch",$C444)),$D444="Western"),RAND(),"")</f>
        <v/>
      </c>
      <c r="M444" s="27">
        <f>IF(AND(ISNUMBER(SEARCH("Dinner",$C444)),$D444="Asian"),RAND(),"")</f>
        <v/>
      </c>
      <c r="N444" s="27">
        <f>IF(AND(ISNUMBER(SEARCH("Dinner",$C444)),$D444="Chinese"),RAND(),"")</f>
        <v/>
      </c>
      <c r="O444" s="27">
        <f>IF(AND(ISNUMBER(SEARCH("Dinner",$C444)),$D444="Western"),RAND(),"")</f>
        <v/>
      </c>
    </row>
    <row r="445" ht="15.75" customHeight="1" s="36">
      <c r="A445" s="22" t="inlineStr">
        <is>
          <t>Sweet Potato Millet Porridge</t>
        </is>
      </c>
      <c r="B445" s="22" t="inlineStr">
        <is>
          <t>Millet, Rice, Sweet Potato, Red dates, Goji Berry</t>
        </is>
      </c>
      <c r="C445" s="21" t="inlineStr">
        <is>
          <t>Lunch</t>
        </is>
      </c>
      <c r="D445" s="26" t="inlineStr">
        <is>
          <t>Chinese</t>
        </is>
      </c>
      <c r="E445" s="21" t="inlineStr">
        <is>
          <t>High</t>
        </is>
      </c>
      <c r="F445" s="23" t="inlineStr">
        <is>
          <t>https://icook.tw/recipes/468827?utm_source=copy&amp;utm_medium=sharev3&amp;utm_campaign=recipe-share</t>
        </is>
      </c>
      <c r="G445" s="28">
        <f>IF(AND(ISNUMBER(SEARCH("Breakfast",$C445)),$D445="Asian"),RAND(),"")</f>
        <v/>
      </c>
      <c r="H445" s="28">
        <f>IF(AND(ISNUMBER(SEARCH("Breakfast",$C445)),$D445="Chinese"),RAND(),"")</f>
        <v/>
      </c>
      <c r="I445" s="28">
        <f>IF(AND(ISNUMBER(SEARCH("Breakfast",$C445)),$D445="Western"),RAND(),"")</f>
        <v/>
      </c>
      <c r="J445" s="28">
        <f>IF(AND(ISNUMBER(SEARCH("Lunch",$C445)),$D445="Asian"),RAND(),"")</f>
        <v/>
      </c>
      <c r="K445" s="28">
        <f>IF(AND(ISNUMBER(SEARCH("Lunch",$C445)),$D445="Chinese"),RAND(),"")</f>
        <v/>
      </c>
      <c r="L445" s="28">
        <f>IF(AND(ISNUMBER(SEARCH("Lunch",$C445)),$D445="Western"),RAND(),"")</f>
        <v/>
      </c>
      <c r="M445" s="28">
        <f>IF(AND(ISNUMBER(SEARCH("Dinner",$C445)),$D445="Asian"),RAND(),"")</f>
        <v/>
      </c>
      <c r="N445" s="28">
        <f>IF(AND(ISNUMBER(SEARCH("Dinner",$C445)),$D445="Chinese"),RAND(),"")</f>
        <v/>
      </c>
      <c r="O445" s="28">
        <f>IF(AND(ISNUMBER(SEARCH("Dinner",$C445)),$D445="Western"),RAND(),"")</f>
        <v/>
      </c>
    </row>
    <row r="446" ht="15.75" customHeight="1" s="36">
      <c r="A446" s="18" t="inlineStr">
        <is>
          <t>Taiwan Braised Meat</t>
        </is>
      </c>
      <c r="B446" s="31" t="inlineStr">
        <is>
          <t>五花肉, 豆干, Daikon, Garlic, Ginger, Spring Onion, Star Anise, Bay Leaf</t>
        </is>
      </c>
      <c r="C446" s="17" t="inlineStr">
        <is>
          <t>Dinner</t>
        </is>
      </c>
      <c r="D446" s="26" t="inlineStr">
        <is>
          <t>Chinese</t>
        </is>
      </c>
      <c r="E446" s="17" t="inlineStr">
        <is>
          <t>High</t>
        </is>
      </c>
      <c r="F446" s="19" t="inlineStr">
        <is>
          <t>https://www.instagram.com/tv/CXQ3FHdAkd9/?utm_medium=copy_link</t>
        </is>
      </c>
      <c r="G446" s="27">
        <f>IF(AND(ISNUMBER(SEARCH("Breakfast",$C446)),$D446="Asian"),RAND(),"")</f>
        <v/>
      </c>
      <c r="H446" s="27">
        <f>IF(AND(ISNUMBER(SEARCH("Breakfast",$C446)),$D446="Chinese"),RAND(),"")</f>
        <v/>
      </c>
      <c r="I446" s="27">
        <f>IF(AND(ISNUMBER(SEARCH("Breakfast",$C446)),$D446="Western"),RAND(),"")</f>
        <v/>
      </c>
      <c r="J446" s="27">
        <f>IF(AND(ISNUMBER(SEARCH("Lunch",$C446)),$D446="Asian"),RAND(),"")</f>
        <v/>
      </c>
      <c r="K446" s="27">
        <f>IF(AND(ISNUMBER(SEARCH("Lunch",$C446)),$D446="Chinese"),RAND(),"")</f>
        <v/>
      </c>
      <c r="L446" s="27">
        <f>IF(AND(ISNUMBER(SEARCH("Lunch",$C446)),$D446="Western"),RAND(),"")</f>
        <v/>
      </c>
      <c r="M446" s="27">
        <f>IF(AND(ISNUMBER(SEARCH("Dinner",$C446)),$D446="Asian"),RAND(),"")</f>
        <v/>
      </c>
      <c r="N446" s="27">
        <f>IF(AND(ISNUMBER(SEARCH("Dinner",$C446)),$D446="Chinese"),RAND(),"")</f>
        <v/>
      </c>
      <c r="O446" s="27">
        <f>IF(AND(ISNUMBER(SEARCH("Dinner",$C446)),$D446="Western"),RAND(),"")</f>
        <v/>
      </c>
    </row>
    <row r="447" ht="15.75" customHeight="1" s="36">
      <c r="A447" s="22" t="inlineStr">
        <is>
          <t>Tang oh tofu soup</t>
        </is>
      </c>
      <c r="B447" s="22" t="inlineStr">
        <is>
          <t>Tang Oh, 板豆腐, Egg, Bonito flakes</t>
        </is>
      </c>
      <c r="C447" s="21" t="inlineStr">
        <is>
          <t>Dinner</t>
        </is>
      </c>
      <c r="D447" s="26" t="inlineStr">
        <is>
          <t>Chinese</t>
        </is>
      </c>
      <c r="E447" s="21" t="inlineStr">
        <is>
          <t>High</t>
        </is>
      </c>
      <c r="F447" s="23" t="inlineStr">
        <is>
          <t>https://icook.tw/recipes/474482?utm_source=copy&amp;utm_medium=sharev3&amp;utm_campaign=recipe-share</t>
        </is>
      </c>
      <c r="G447" s="28">
        <f>IF(AND(ISNUMBER(SEARCH("Breakfast",$C447)),$D447="Asian"),RAND(),"")</f>
        <v/>
      </c>
      <c r="H447" s="28">
        <f>IF(AND(ISNUMBER(SEARCH("Breakfast",$C447)),$D447="Chinese"),RAND(),"")</f>
        <v/>
      </c>
      <c r="I447" s="28">
        <f>IF(AND(ISNUMBER(SEARCH("Breakfast",$C447)),$D447="Western"),RAND(),"")</f>
        <v/>
      </c>
      <c r="J447" s="28">
        <f>IF(AND(ISNUMBER(SEARCH("Lunch",$C447)),$D447="Asian"),RAND(),"")</f>
        <v/>
      </c>
      <c r="K447" s="28">
        <f>IF(AND(ISNUMBER(SEARCH("Lunch",$C447)),$D447="Chinese"),RAND(),"")</f>
        <v/>
      </c>
      <c r="L447" s="28">
        <f>IF(AND(ISNUMBER(SEARCH("Lunch",$C447)),$D447="Western"),RAND(),"")</f>
        <v/>
      </c>
      <c r="M447" s="28">
        <f>IF(AND(ISNUMBER(SEARCH("Dinner",$C447)),$D447="Asian"),RAND(),"")</f>
        <v/>
      </c>
      <c r="N447" s="28">
        <f>IF(AND(ISNUMBER(SEARCH("Dinner",$C447)),$D447="Chinese"),RAND(),"")</f>
        <v/>
      </c>
      <c r="O447" s="28">
        <f>IF(AND(ISNUMBER(SEARCH("Dinner",$C447)),$D447="Western"),RAND(),"")</f>
        <v/>
      </c>
      <c r="P447" s="0" t="b">
        <v>1</v>
      </c>
    </row>
    <row r="448" ht="15.75" customHeight="1" s="36">
      <c r="A448" s="18" t="inlineStr">
        <is>
          <t>Tanghoon</t>
        </is>
      </c>
      <c r="B448" s="18" t="inlineStr">
        <is>
          <t>Wawacai, Enoki mushroom, Shrimps, Glass Noodles, Soy sauce, Oyster sauce, Sesame Oil</t>
        </is>
      </c>
      <c r="C448" s="17" t="inlineStr">
        <is>
          <t>Dinner</t>
        </is>
      </c>
      <c r="D448" s="29" t="inlineStr">
        <is>
          <t>Asian</t>
        </is>
      </c>
      <c r="E448" s="17" t="inlineStr">
        <is>
          <t>Low</t>
        </is>
      </c>
      <c r="F448" s="19" t="inlineStr">
        <is>
          <t>https://www.instagram.com/reel/DPqcV6kAFPu/?igsh=MTBwc25lMHRoYjRlcQ==</t>
        </is>
      </c>
      <c r="G448" s="27">
        <f>IF(AND(ISNUMBER(SEARCH("Breakfast",$C448)),$D448="Asian"),RAND(),"")</f>
        <v/>
      </c>
      <c r="H448" s="27">
        <f>IF(AND(ISNUMBER(SEARCH("Breakfast",$C448)),$D448="Chinese"),RAND(),"")</f>
        <v/>
      </c>
      <c r="I448" s="27">
        <f>IF(AND(ISNUMBER(SEARCH("Breakfast",$C448)),$D448="Western"),RAND(),"")</f>
        <v/>
      </c>
      <c r="J448" s="27">
        <f>IF(AND(ISNUMBER(SEARCH("Lunch",$C448)),$D448="Asian"),RAND(),"")</f>
        <v/>
      </c>
      <c r="K448" s="27">
        <f>IF(AND(ISNUMBER(SEARCH("Lunch",$C448)),$D448="Chinese"),RAND(),"")</f>
        <v/>
      </c>
      <c r="L448" s="27">
        <f>IF(AND(ISNUMBER(SEARCH("Lunch",$C448)),$D448="Western"),RAND(),"")</f>
        <v/>
      </c>
      <c r="M448" s="27">
        <f>IF(AND(ISNUMBER(SEARCH("Dinner",$C448)),$D448="Asian"),RAND(),"")</f>
        <v/>
      </c>
      <c r="N448" s="27">
        <f>IF(AND(ISNUMBER(SEARCH("Dinner",$C448)),$D448="Chinese"),RAND(),"")</f>
        <v/>
      </c>
      <c r="O448" s="27">
        <f>IF(AND(ISNUMBER(SEARCH("Dinner",$C448)),$D448="Western"),RAND(),"")</f>
        <v/>
      </c>
    </row>
    <row r="449" ht="15.75" customHeight="1" s="36">
      <c r="A449" s="22" t="inlineStr">
        <is>
          <t>Taziki Paste</t>
        </is>
      </c>
      <c r="B449" s="22" t="inlineStr">
        <is>
          <t>Cucumber, Greek Yoghurt, Garlic, Cayenne, Mint, Parsley, Pita Bread</t>
        </is>
      </c>
      <c r="C449" s="21" t="inlineStr">
        <is>
          <t>Dinner</t>
        </is>
      </c>
      <c r="D449" s="33" t="inlineStr">
        <is>
          <t>Western</t>
        </is>
      </c>
      <c r="E449" s="21" t="inlineStr">
        <is>
          <t>Low</t>
        </is>
      </c>
      <c r="F449" s="23" t="inlineStr">
        <is>
          <t>https://youtu.be/OOkL5d8t1sM</t>
        </is>
      </c>
      <c r="G449" s="28">
        <f>IF(AND(ISNUMBER(SEARCH("Breakfast",$C449)),$D449="Asian"),RAND(),"")</f>
        <v/>
      </c>
      <c r="H449" s="28">
        <f>IF(AND(ISNUMBER(SEARCH("Breakfast",$C449)),$D449="Chinese"),RAND(),"")</f>
        <v/>
      </c>
      <c r="I449" s="28">
        <f>IF(AND(ISNUMBER(SEARCH("Breakfast",$C449)),$D449="Western"),RAND(),"")</f>
        <v/>
      </c>
      <c r="J449" s="28">
        <f>IF(AND(ISNUMBER(SEARCH("Lunch",$C449)),$D449="Asian"),RAND(),"")</f>
        <v/>
      </c>
      <c r="K449" s="28">
        <f>IF(AND(ISNUMBER(SEARCH("Lunch",$C449)),$D449="Chinese"),RAND(),"")</f>
        <v/>
      </c>
      <c r="L449" s="28">
        <f>IF(AND(ISNUMBER(SEARCH("Lunch",$C449)),$D449="Western"),RAND(),"")</f>
        <v/>
      </c>
      <c r="M449" s="28">
        <f>IF(AND(ISNUMBER(SEARCH("Dinner",$C449)),$D449="Asian"),RAND(),"")</f>
        <v/>
      </c>
      <c r="N449" s="28">
        <f>IF(AND(ISNUMBER(SEARCH("Dinner",$C449)),$D449="Chinese"),RAND(),"")</f>
        <v/>
      </c>
      <c r="O449" s="28">
        <f>IF(AND(ISNUMBER(SEARCH("Dinner",$C449)),$D449="Western"),RAND(),"")</f>
        <v/>
      </c>
    </row>
    <row r="450" ht="15.75" customHeight="1" s="36">
      <c r="A450" s="18" t="inlineStr">
        <is>
          <t>Teochew Steam Fish</t>
        </is>
      </c>
      <c r="B450" s="18" t="inlineStr">
        <is>
          <t>Fish, Ginger, Small Tomato, Green Onion, Parsley, 香菇, Tofu, 水酸梅, 咸菜</t>
        </is>
      </c>
      <c r="C450" s="17" t="inlineStr">
        <is>
          <t>Dinner</t>
        </is>
      </c>
      <c r="D450" s="26" t="inlineStr">
        <is>
          <t>Chinese</t>
        </is>
      </c>
      <c r="E450" s="17" t="inlineStr">
        <is>
          <t>High</t>
        </is>
      </c>
      <c r="F450" s="19" t="inlineStr">
        <is>
          <t>https://youtu.be/te935rTdUto?si=i0DV9_1rWshzKD7G</t>
        </is>
      </c>
      <c r="G450" s="27">
        <f>IF(AND(ISNUMBER(SEARCH("Breakfast",$C450)),$D450="Asian"),RAND(),"")</f>
        <v/>
      </c>
      <c r="H450" s="27">
        <f>IF(AND(ISNUMBER(SEARCH("Breakfast",$C450)),$D450="Chinese"),RAND(),"")</f>
        <v/>
      </c>
      <c r="I450" s="27">
        <f>IF(AND(ISNUMBER(SEARCH("Breakfast",$C450)),$D450="Western"),RAND(),"")</f>
        <v/>
      </c>
      <c r="J450" s="27">
        <f>IF(AND(ISNUMBER(SEARCH("Lunch",$C450)),$D450="Asian"),RAND(),"")</f>
        <v/>
      </c>
      <c r="K450" s="27">
        <f>IF(AND(ISNUMBER(SEARCH("Lunch",$C450)),$D450="Chinese"),RAND(),"")</f>
        <v/>
      </c>
      <c r="L450" s="27">
        <f>IF(AND(ISNUMBER(SEARCH("Lunch",$C450)),$D450="Western"),RAND(),"")</f>
        <v/>
      </c>
      <c r="M450" s="27">
        <f>IF(AND(ISNUMBER(SEARCH("Dinner",$C450)),$D450="Asian"),RAND(),"")</f>
        <v/>
      </c>
      <c r="N450" s="27">
        <f>IF(AND(ISNUMBER(SEARCH("Dinner",$C450)),$D450="Chinese"),RAND(),"")</f>
        <v/>
      </c>
      <c r="O450" s="27">
        <f>IF(AND(ISNUMBER(SEARCH("Dinner",$C450)),$D450="Western"),RAND(),"")</f>
        <v/>
      </c>
    </row>
    <row r="451" ht="15.75" customHeight="1" s="36">
      <c r="A451" s="22" t="inlineStr">
        <is>
          <t>Teriyaki Chicken</t>
        </is>
      </c>
      <c r="B451" s="22" t="inlineStr">
        <is>
          <t>Carrot, Egg, Soy Sauce, Salt, Chicken Thigh, Corn Flour, Mirin, Sugar, Rice</t>
        </is>
      </c>
      <c r="C451" s="21" t="inlineStr">
        <is>
          <t>Dinner</t>
        </is>
      </c>
      <c r="D451" s="29" t="inlineStr">
        <is>
          <t>Asian</t>
        </is>
      </c>
      <c r="E451" s="21" t="inlineStr">
        <is>
          <t>High</t>
        </is>
      </c>
      <c r="F451" s="23" t="inlineStr">
        <is>
          <t>https://www.instagram.com/reel/C9YvoBzP9is/?igsh=bGkxd2JmZW9ybGNw</t>
        </is>
      </c>
      <c r="G451" s="28">
        <f>IF(AND(ISNUMBER(SEARCH("Breakfast",$C451)),$D451="Asian"),RAND(),"")</f>
        <v/>
      </c>
      <c r="H451" s="28">
        <f>IF(AND(ISNUMBER(SEARCH("Breakfast",$C451)),$D451="Chinese"),RAND(),"")</f>
        <v/>
      </c>
      <c r="I451" s="28">
        <f>IF(AND(ISNUMBER(SEARCH("Breakfast",$C451)),$D451="Western"),RAND(),"")</f>
        <v/>
      </c>
      <c r="J451" s="28">
        <f>IF(AND(ISNUMBER(SEARCH("Lunch",$C451)),$D451="Asian"),RAND(),"")</f>
        <v/>
      </c>
      <c r="K451" s="28">
        <f>IF(AND(ISNUMBER(SEARCH("Lunch",$C451)),$D451="Chinese"),RAND(),"")</f>
        <v/>
      </c>
      <c r="L451" s="28">
        <f>IF(AND(ISNUMBER(SEARCH("Lunch",$C451)),$D451="Western"),RAND(),"")</f>
        <v/>
      </c>
      <c r="M451" s="28">
        <f>IF(AND(ISNUMBER(SEARCH("Dinner",$C451)),$D451="Asian"),RAND(),"")</f>
        <v/>
      </c>
      <c r="N451" s="28">
        <f>IF(AND(ISNUMBER(SEARCH("Dinner",$C451)),$D451="Chinese"),RAND(),"")</f>
        <v/>
      </c>
      <c r="O451" s="28">
        <f>IF(AND(ISNUMBER(SEARCH("Dinner",$C451)),$D451="Western"),RAND(),"")</f>
        <v/>
      </c>
    </row>
    <row r="452" ht="15.75" customHeight="1" s="36">
      <c r="A452" s="18" t="inlineStr">
        <is>
          <t>Thai Glass Noodles</t>
        </is>
      </c>
      <c r="B452" s="18" t="inlineStr">
        <is>
          <t>Glass Noodles, Shrimp, Chilli, tomato, Ground Pork Meat, Peanuts, Lime, Shiitake Mushroom, Small Onion, Chinese Celery, Ground Prok, Dong gu/shiitake, Tang Hoon, Minced Pork</t>
        </is>
      </c>
      <c r="C452" s="17" t="inlineStr">
        <is>
          <t>Dinner, Lunch</t>
        </is>
      </c>
      <c r="D452" s="29" t="inlineStr">
        <is>
          <t>Asian</t>
        </is>
      </c>
      <c r="E452" s="17" t="inlineStr">
        <is>
          <t>High</t>
        </is>
      </c>
      <c r="F452" s="19" t="inlineStr">
        <is>
          <t>https://youtu.be/7gwWWsckC-g</t>
        </is>
      </c>
      <c r="G452" s="27">
        <f>IF(AND(ISNUMBER(SEARCH("Breakfast",$C452)),$D452="Asian"),RAND(),"")</f>
        <v/>
      </c>
      <c r="H452" s="27">
        <f>IF(AND(ISNUMBER(SEARCH("Breakfast",$C452)),$D452="Chinese"),RAND(),"")</f>
        <v/>
      </c>
      <c r="I452" s="27">
        <f>IF(AND(ISNUMBER(SEARCH("Breakfast",$C452)),$D452="Western"),RAND(),"")</f>
        <v/>
      </c>
      <c r="J452" s="27">
        <f>IF(AND(ISNUMBER(SEARCH("Lunch",$C452)),$D452="Asian"),RAND(),"")</f>
        <v/>
      </c>
      <c r="K452" s="27">
        <f>IF(AND(ISNUMBER(SEARCH("Lunch",$C452)),$D452="Chinese"),RAND(),"")</f>
        <v/>
      </c>
      <c r="L452" s="27">
        <f>IF(AND(ISNUMBER(SEARCH("Lunch",$C452)),$D452="Western"),RAND(),"")</f>
        <v/>
      </c>
      <c r="M452" s="27">
        <f>IF(AND(ISNUMBER(SEARCH("Dinner",$C452)),$D452="Asian"),RAND(),"")</f>
        <v/>
      </c>
      <c r="N452" s="27">
        <f>IF(AND(ISNUMBER(SEARCH("Dinner",$C452)),$D452="Chinese"),RAND(),"")</f>
        <v/>
      </c>
      <c r="O452" s="27">
        <f>IF(AND(ISNUMBER(SEARCH("Dinner",$C452)),$D452="Western"),RAND(),"")</f>
        <v/>
      </c>
    </row>
    <row r="453" ht="15.75" customHeight="1" s="36">
      <c r="A453" s="22" t="inlineStr">
        <is>
          <t>Thai Grilled Pork</t>
        </is>
      </c>
      <c r="B453" s="32" t="inlineStr">
        <is>
          <t>梅花肉, Garlic, Coriander roots, Evaporated Milk, Oyster Sauce, Soy Sauce, Sugar, Honey, 梅花头肉</t>
        </is>
      </c>
      <c r="C453" s="21" t="inlineStr">
        <is>
          <t>Dinner</t>
        </is>
      </c>
      <c r="D453" s="26" t="inlineStr">
        <is>
          <t>Chinese</t>
        </is>
      </c>
      <c r="E453" s="21" t="inlineStr">
        <is>
          <t>Med</t>
        </is>
      </c>
      <c r="F453" s="22" t="n"/>
      <c r="G453" s="28">
        <f>IF(AND(ISNUMBER(SEARCH("Breakfast",$C453)),$D453="Asian"),RAND(),"")</f>
        <v/>
      </c>
      <c r="H453" s="28">
        <f>IF(AND(ISNUMBER(SEARCH("Breakfast",$C453)),$D453="Chinese"),RAND(),"")</f>
        <v/>
      </c>
      <c r="I453" s="28">
        <f>IF(AND(ISNUMBER(SEARCH("Breakfast",$C453)),$D453="Western"),RAND(),"")</f>
        <v/>
      </c>
      <c r="J453" s="28">
        <f>IF(AND(ISNUMBER(SEARCH("Lunch",$C453)),$D453="Asian"),RAND(),"")</f>
        <v/>
      </c>
      <c r="K453" s="28">
        <f>IF(AND(ISNUMBER(SEARCH("Lunch",$C453)),$D453="Chinese"),RAND(),"")</f>
        <v/>
      </c>
      <c r="L453" s="28">
        <f>IF(AND(ISNUMBER(SEARCH("Lunch",$C453)),$D453="Western"),RAND(),"")</f>
        <v/>
      </c>
      <c r="M453" s="28">
        <f>IF(AND(ISNUMBER(SEARCH("Dinner",$C453)),$D453="Asian"),RAND(),"")</f>
        <v/>
      </c>
      <c r="N453" s="28">
        <f>IF(AND(ISNUMBER(SEARCH("Dinner",$C453)),$D453="Chinese"),RAND(),"")</f>
        <v/>
      </c>
      <c r="O453" s="28">
        <f>IF(AND(ISNUMBER(SEARCH("Dinner",$C453)),$D453="Western"),RAND(),"")</f>
        <v/>
      </c>
    </row>
    <row r="454" ht="15.75" customHeight="1" s="36">
      <c r="A454" s="18" t="inlineStr">
        <is>
          <t>Thai Pandan Leaf</t>
        </is>
      </c>
      <c r="B454" s="18" t="inlineStr">
        <is>
          <t>Chicken Thigh, Ginger, Pandan Leaves, Shallots, Garlic, lemongrass, tumeric, coriander roots, oyster sauce, fish sauce, sesame oil, cornflour, coconut milk powder</t>
        </is>
      </c>
      <c r="C454" s="17" t="inlineStr">
        <is>
          <t>Dinner</t>
        </is>
      </c>
      <c r="D454" s="29" t="inlineStr">
        <is>
          <t>Asian</t>
        </is>
      </c>
      <c r="E454" s="17" t="inlineStr">
        <is>
          <t>High</t>
        </is>
      </c>
      <c r="F454" s="18" t="n"/>
      <c r="G454" s="27">
        <f>IF(AND(ISNUMBER(SEARCH("Breakfast",$C454)),$D454="Asian"),RAND(),"")</f>
        <v/>
      </c>
      <c r="H454" s="27">
        <f>IF(AND(ISNUMBER(SEARCH("Breakfast",$C454)),$D454="Chinese"),RAND(),"")</f>
        <v/>
      </c>
      <c r="I454" s="27">
        <f>IF(AND(ISNUMBER(SEARCH("Breakfast",$C454)),$D454="Western"),RAND(),"")</f>
        <v/>
      </c>
      <c r="J454" s="27">
        <f>IF(AND(ISNUMBER(SEARCH("Lunch",$C454)),$D454="Asian"),RAND(),"")</f>
        <v/>
      </c>
      <c r="K454" s="27">
        <f>IF(AND(ISNUMBER(SEARCH("Lunch",$C454)),$D454="Chinese"),RAND(),"")</f>
        <v/>
      </c>
      <c r="L454" s="27">
        <f>IF(AND(ISNUMBER(SEARCH("Lunch",$C454)),$D454="Western"),RAND(),"")</f>
        <v/>
      </c>
      <c r="M454" s="27">
        <f>IF(AND(ISNUMBER(SEARCH("Dinner",$C454)),$D454="Asian"),RAND(),"")</f>
        <v/>
      </c>
      <c r="N454" s="27">
        <f>IF(AND(ISNUMBER(SEARCH("Dinner",$C454)),$D454="Chinese"),RAND(),"")</f>
        <v/>
      </c>
      <c r="O454" s="27">
        <f>IF(AND(ISNUMBER(SEARCH("Dinner",$C454)),$D454="Western"),RAND(),"")</f>
        <v/>
      </c>
    </row>
    <row r="455" ht="15.75" customHeight="1" s="36">
      <c r="A455" s="22" t="inlineStr">
        <is>
          <t>Thai Steamed Fish</t>
        </is>
      </c>
      <c r="B455" s="22" t="inlineStr">
        <is>
          <t>Fish, Thai Green Lime, Coriander, Red Pepper, Lime Leaf, Whole Barramundi, Lemongrass X5, Chicken stock, Palm Sugar, Lime Juice, Fish Sauce, Garlic, Chilli, Cilantro, Chinese Celery</t>
        </is>
      </c>
      <c r="C455" s="21" t="inlineStr">
        <is>
          <t>Dinner</t>
        </is>
      </c>
      <c r="D455" s="29" t="inlineStr">
        <is>
          <t>Asian</t>
        </is>
      </c>
      <c r="E455" s="21" t="inlineStr">
        <is>
          <t>High</t>
        </is>
      </c>
      <c r="F455" s="23" t="inlineStr">
        <is>
          <t>https://youtu.be/12YI3KJk204</t>
        </is>
      </c>
      <c r="G455" s="28">
        <f>IF(AND(ISNUMBER(SEARCH("Breakfast",$C455)),$D455="Asian"),RAND(),"")</f>
        <v/>
      </c>
      <c r="H455" s="28">
        <f>IF(AND(ISNUMBER(SEARCH("Breakfast",$C455)),$D455="Chinese"),RAND(),"")</f>
        <v/>
      </c>
      <c r="I455" s="28">
        <f>IF(AND(ISNUMBER(SEARCH("Breakfast",$C455)),$D455="Western"),RAND(),"")</f>
        <v/>
      </c>
      <c r="J455" s="28">
        <f>IF(AND(ISNUMBER(SEARCH("Lunch",$C455)),$D455="Asian"),RAND(),"")</f>
        <v/>
      </c>
      <c r="K455" s="28">
        <f>IF(AND(ISNUMBER(SEARCH("Lunch",$C455)),$D455="Chinese"),RAND(),"")</f>
        <v/>
      </c>
      <c r="L455" s="28">
        <f>IF(AND(ISNUMBER(SEARCH("Lunch",$C455)),$D455="Western"),RAND(),"")</f>
        <v/>
      </c>
      <c r="M455" s="28">
        <f>IF(AND(ISNUMBER(SEARCH("Dinner",$C455)),$D455="Asian"),RAND(),"")</f>
        <v/>
      </c>
      <c r="N455" s="28">
        <f>IF(AND(ISNUMBER(SEARCH("Dinner",$C455)),$D455="Chinese"),RAND(),"")</f>
        <v/>
      </c>
      <c r="O455" s="28">
        <f>IF(AND(ISNUMBER(SEARCH("Dinner",$C455)),$D455="Western"),RAND(),"")</f>
        <v/>
      </c>
    </row>
    <row r="456" ht="15.75" customHeight="1" s="36">
      <c r="A456" s="18" t="inlineStr">
        <is>
          <t>Thai style Tofu</t>
        </is>
      </c>
      <c r="B456" s="18" t="inlineStr">
        <is>
          <t>Hard Tofu, Cucumber, Carrot, Onion, Thai Chilli, Lemon, Lime, Sesame</t>
        </is>
      </c>
      <c r="C456" s="17" t="inlineStr">
        <is>
          <t>Dinner</t>
        </is>
      </c>
      <c r="D456" s="29" t="inlineStr">
        <is>
          <t>Asian</t>
        </is>
      </c>
      <c r="E456" s="17" t="inlineStr">
        <is>
          <t>Low</t>
        </is>
      </c>
      <c r="F456" s="19" t="inlineStr">
        <is>
          <t>https://www.instagram.com/reel/C4QNAawRn-S/?igsh=dHc4cmtyN3J5MDNp</t>
        </is>
      </c>
      <c r="G456" s="27">
        <f>IF(AND(ISNUMBER(SEARCH("Breakfast",$C456)),$D456="Asian"),RAND(),"")</f>
        <v/>
      </c>
      <c r="H456" s="27">
        <f>IF(AND(ISNUMBER(SEARCH("Breakfast",$C456)),$D456="Chinese"),RAND(),"")</f>
        <v/>
      </c>
      <c r="I456" s="27">
        <f>IF(AND(ISNUMBER(SEARCH("Breakfast",$C456)),$D456="Western"),RAND(),"")</f>
        <v/>
      </c>
      <c r="J456" s="27">
        <f>IF(AND(ISNUMBER(SEARCH("Lunch",$C456)),$D456="Asian"),RAND(),"")</f>
        <v/>
      </c>
      <c r="K456" s="27">
        <f>IF(AND(ISNUMBER(SEARCH("Lunch",$C456)),$D456="Chinese"),RAND(),"")</f>
        <v/>
      </c>
      <c r="L456" s="27">
        <f>IF(AND(ISNUMBER(SEARCH("Lunch",$C456)),$D456="Western"),RAND(),"")</f>
        <v/>
      </c>
      <c r="M456" s="27">
        <f>IF(AND(ISNUMBER(SEARCH("Dinner",$C456)),$D456="Asian"),RAND(),"")</f>
        <v/>
      </c>
      <c r="N456" s="27">
        <f>IF(AND(ISNUMBER(SEARCH("Dinner",$C456)),$D456="Chinese"),RAND(),"")</f>
        <v/>
      </c>
      <c r="O456" s="27">
        <f>IF(AND(ISNUMBER(SEARCH("Dinner",$C456)),$D456="Western"),RAND(),"")</f>
        <v/>
      </c>
    </row>
    <row r="457" ht="15.75" customHeight="1" s="36">
      <c r="A457" s="22" t="inlineStr">
        <is>
          <t>Three cups Mushroom</t>
        </is>
      </c>
      <c r="B457" s="32" t="inlineStr">
        <is>
          <t>杏鲍菇, Ginger, Red Chilli, Garlic, Basil, Small Corn, Sesame Oil, Soy Sauce, Oyster Sauce, Rice Wine, Sugar, White Pepper</t>
        </is>
      </c>
      <c r="C457" s="21" t="inlineStr">
        <is>
          <t>Dinner</t>
        </is>
      </c>
      <c r="D457" s="26" t="inlineStr">
        <is>
          <t>Chinese</t>
        </is>
      </c>
      <c r="E457" s="21" t="inlineStr">
        <is>
          <t>High</t>
        </is>
      </c>
      <c r="F457" s="23" t="inlineStr">
        <is>
          <t>https://icook.tw/recipes/394355?utm_source=copy&amp;utm_medium=sharev3&amp;utm_campaign=recipe-share</t>
        </is>
      </c>
      <c r="G457" s="28">
        <f>IF(AND(ISNUMBER(SEARCH("Breakfast",$C457)),$D457="Asian"),RAND(),"")</f>
        <v/>
      </c>
      <c r="H457" s="28">
        <f>IF(AND(ISNUMBER(SEARCH("Breakfast",$C457)),$D457="Chinese"),RAND(),"")</f>
        <v/>
      </c>
      <c r="I457" s="28">
        <f>IF(AND(ISNUMBER(SEARCH("Breakfast",$C457)),$D457="Western"),RAND(),"")</f>
        <v/>
      </c>
      <c r="J457" s="28">
        <f>IF(AND(ISNUMBER(SEARCH("Lunch",$C457)),$D457="Asian"),RAND(),"")</f>
        <v/>
      </c>
      <c r="K457" s="28">
        <f>IF(AND(ISNUMBER(SEARCH("Lunch",$C457)),$D457="Chinese"),RAND(),"")</f>
        <v/>
      </c>
      <c r="L457" s="28">
        <f>IF(AND(ISNUMBER(SEARCH("Lunch",$C457)),$D457="Western"),RAND(),"")</f>
        <v/>
      </c>
      <c r="M457" s="28">
        <f>IF(AND(ISNUMBER(SEARCH("Dinner",$C457)),$D457="Asian"),RAND(),"")</f>
        <v/>
      </c>
      <c r="N457" s="28">
        <f>IF(AND(ISNUMBER(SEARCH("Dinner",$C457)),$D457="Chinese"),RAND(),"")</f>
        <v/>
      </c>
      <c r="O457" s="28">
        <f>IF(AND(ISNUMBER(SEARCH("Dinner",$C457)),$D457="Western"),RAND(),"")</f>
        <v/>
      </c>
    </row>
    <row r="458" ht="15.75" customHeight="1" s="36">
      <c r="A458" s="18" t="inlineStr">
        <is>
          <t>Tofu Dish</t>
        </is>
      </c>
      <c r="B458" s="18" t="inlineStr">
        <is>
          <t>Hard Tofu, Egg, garlic, spring onion, Big wawacai</t>
        </is>
      </c>
      <c r="C458" s="17" t="inlineStr">
        <is>
          <t>Dinner</t>
        </is>
      </c>
      <c r="D458" s="26" t="inlineStr">
        <is>
          <t>Chinese</t>
        </is>
      </c>
      <c r="E458" s="17" t="inlineStr">
        <is>
          <t>Med</t>
        </is>
      </c>
      <c r="F458" s="19" t="inlineStr">
        <is>
          <t>https://www.instagram.com/reel/CqUhIbHv3PJ/?igshid=YmMyMTA2M2Y=</t>
        </is>
      </c>
      <c r="G458" s="27">
        <f>IF(AND(ISNUMBER(SEARCH("Breakfast",$C458)),$D458="Asian"),RAND(),"")</f>
        <v/>
      </c>
      <c r="H458" s="27">
        <f>IF(AND(ISNUMBER(SEARCH("Breakfast",$C458)),$D458="Chinese"),RAND(),"")</f>
        <v/>
      </c>
      <c r="I458" s="27">
        <f>IF(AND(ISNUMBER(SEARCH("Breakfast",$C458)),$D458="Western"),RAND(),"")</f>
        <v/>
      </c>
      <c r="J458" s="27">
        <f>IF(AND(ISNUMBER(SEARCH("Lunch",$C458)),$D458="Asian"),RAND(),"")</f>
        <v/>
      </c>
      <c r="K458" s="27">
        <f>IF(AND(ISNUMBER(SEARCH("Lunch",$C458)),$D458="Chinese"),RAND(),"")</f>
        <v/>
      </c>
      <c r="L458" s="27">
        <f>IF(AND(ISNUMBER(SEARCH("Lunch",$C458)),$D458="Western"),RAND(),"")</f>
        <v/>
      </c>
      <c r="M458" s="27">
        <f>IF(AND(ISNUMBER(SEARCH("Dinner",$C458)),$D458="Asian"),RAND(),"")</f>
        <v/>
      </c>
      <c r="N458" s="27">
        <f>IF(AND(ISNUMBER(SEARCH("Dinner",$C458)),$D458="Chinese"),RAND(),"")</f>
        <v/>
      </c>
      <c r="O458" s="27">
        <f>IF(AND(ISNUMBER(SEARCH("Dinner",$C458)),$D458="Western"),RAND(),"")</f>
        <v/>
      </c>
    </row>
    <row r="459" ht="15.75" customHeight="1" s="36">
      <c r="A459" s="22" t="inlineStr">
        <is>
          <t>Tofu Egg</t>
        </is>
      </c>
      <c r="B459" s="22" t="inlineStr">
        <is>
          <t>Tofu, Egg, Minced Pork, 豆瓣酱, Ginger, Garlic, Soya Sauce</t>
        </is>
      </c>
      <c r="C459" s="21" t="inlineStr">
        <is>
          <t>Dinner</t>
        </is>
      </c>
      <c r="D459" s="26" t="inlineStr">
        <is>
          <t>Chinese</t>
        </is>
      </c>
      <c r="E459" s="21" t="inlineStr">
        <is>
          <t>High</t>
        </is>
      </c>
      <c r="F459" s="23" t="inlineStr">
        <is>
          <t>https://www.instagram.com/reel/Ct0w2fPPAtx/?igshid=Y2I2MzMwZWM3ZA==</t>
        </is>
      </c>
      <c r="G459" s="28">
        <f>IF(AND(ISNUMBER(SEARCH("Breakfast",$C459)),$D459="Asian"),RAND(),"")</f>
        <v/>
      </c>
      <c r="H459" s="28">
        <f>IF(AND(ISNUMBER(SEARCH("Breakfast",$C459)),$D459="Chinese"),RAND(),"")</f>
        <v/>
      </c>
      <c r="I459" s="28">
        <f>IF(AND(ISNUMBER(SEARCH("Breakfast",$C459)),$D459="Western"),RAND(),"")</f>
        <v/>
      </c>
      <c r="J459" s="28">
        <f>IF(AND(ISNUMBER(SEARCH("Lunch",$C459)),$D459="Asian"),RAND(),"")</f>
        <v/>
      </c>
      <c r="K459" s="28">
        <f>IF(AND(ISNUMBER(SEARCH("Lunch",$C459)),$D459="Chinese"),RAND(),"")</f>
        <v/>
      </c>
      <c r="L459" s="28">
        <f>IF(AND(ISNUMBER(SEARCH("Lunch",$C459)),$D459="Western"),RAND(),"")</f>
        <v/>
      </c>
      <c r="M459" s="28">
        <f>IF(AND(ISNUMBER(SEARCH("Dinner",$C459)),$D459="Asian"),RAND(),"")</f>
        <v/>
      </c>
      <c r="N459" s="28">
        <f>IF(AND(ISNUMBER(SEARCH("Dinner",$C459)),$D459="Chinese"),RAND(),"")</f>
        <v/>
      </c>
      <c r="O459" s="28">
        <f>IF(AND(ISNUMBER(SEARCH("Dinner",$C459)),$D459="Western"),RAND(),"")</f>
        <v/>
      </c>
    </row>
    <row r="460" ht="15.75" customHeight="1" s="36">
      <c r="A460" s="18" t="inlineStr">
        <is>
          <t>Tofu leek stir fry</t>
        </is>
      </c>
      <c r="B460" s="18" t="inlineStr">
        <is>
          <t>Hard tofu, Leek, Garlic</t>
        </is>
      </c>
      <c r="C460" s="17" t="inlineStr">
        <is>
          <t>Dinner</t>
        </is>
      </c>
      <c r="D460" s="26" t="inlineStr">
        <is>
          <t>Chinese</t>
        </is>
      </c>
      <c r="E460" s="17" t="inlineStr">
        <is>
          <t>High</t>
        </is>
      </c>
      <c r="F460" s="19" t="inlineStr">
        <is>
          <t>https://www.instagram.com/reel/DU0tBAWEm3w/?igsh=Y2ZzMWxycHdhaG8x</t>
        </is>
      </c>
      <c r="G460" s="27">
        <f>IF(AND(ISNUMBER(SEARCH("Breakfast",$C460)),$D460="Asian"),RAND(),"")</f>
        <v/>
      </c>
      <c r="H460" s="27">
        <f>IF(AND(ISNUMBER(SEARCH("Breakfast",$C460)),$D460="Chinese"),RAND(),"")</f>
        <v/>
      </c>
      <c r="I460" s="27">
        <f>IF(AND(ISNUMBER(SEARCH("Breakfast",$C460)),$D460="Western"),RAND(),"")</f>
        <v/>
      </c>
      <c r="J460" s="27">
        <f>IF(AND(ISNUMBER(SEARCH("Lunch",$C460)),$D460="Asian"),RAND(),"")</f>
        <v/>
      </c>
      <c r="K460" s="27">
        <f>IF(AND(ISNUMBER(SEARCH("Lunch",$C460)),$D460="Chinese"),RAND(),"")</f>
        <v/>
      </c>
      <c r="L460" s="27">
        <f>IF(AND(ISNUMBER(SEARCH("Lunch",$C460)),$D460="Western"),RAND(),"")</f>
        <v/>
      </c>
      <c r="M460" s="27">
        <f>IF(AND(ISNUMBER(SEARCH("Dinner",$C460)),$D460="Asian"),RAND(),"")</f>
        <v/>
      </c>
      <c r="N460" s="27">
        <f>IF(AND(ISNUMBER(SEARCH("Dinner",$C460)),$D460="Chinese"),RAND(),"")</f>
        <v/>
      </c>
      <c r="O460" s="27">
        <f>IF(AND(ISNUMBER(SEARCH("Dinner",$C460)),$D460="Western"),RAND(),"")</f>
        <v/>
      </c>
    </row>
    <row r="461" ht="15.75" customHeight="1" s="36">
      <c r="A461" s="22" t="inlineStr">
        <is>
          <t>Tofu Pancake</t>
        </is>
      </c>
      <c r="B461" s="22" t="inlineStr">
        <is>
          <t>Tofu, Egg, Carrot</t>
        </is>
      </c>
      <c r="C461" s="21" t="inlineStr">
        <is>
          <t>Lunch</t>
        </is>
      </c>
      <c r="D461" s="30" t="inlineStr">
        <is>
          <t>Western</t>
        </is>
      </c>
      <c r="E461" s="21" t="inlineStr">
        <is>
          <t>Med</t>
        </is>
      </c>
      <c r="F461" s="23" t="inlineStr">
        <is>
          <t>https://www.instagram.com/reel/C65QPBRuDDU/?igsh=MTNqczRicmUxaXpsNw==</t>
        </is>
      </c>
      <c r="G461" s="28">
        <f>IF(AND(ISNUMBER(SEARCH("Breakfast",$C461)),$D461="Asian"),RAND(),"")</f>
        <v/>
      </c>
      <c r="H461" s="28">
        <f>IF(AND(ISNUMBER(SEARCH("Breakfast",$C461)),$D461="Chinese"),RAND(),"")</f>
        <v/>
      </c>
      <c r="I461" s="28">
        <f>IF(AND(ISNUMBER(SEARCH("Breakfast",$C461)),$D461="Western"),RAND(),"")</f>
        <v/>
      </c>
      <c r="J461" s="28">
        <f>IF(AND(ISNUMBER(SEARCH("Lunch",$C461)),$D461="Asian"),RAND(),"")</f>
        <v/>
      </c>
      <c r="K461" s="28">
        <f>IF(AND(ISNUMBER(SEARCH("Lunch",$C461)),$D461="Chinese"),RAND(),"")</f>
        <v/>
      </c>
      <c r="L461" s="28">
        <f>IF(AND(ISNUMBER(SEARCH("Lunch",$C461)),$D461="Western"),RAND(),"")</f>
        <v/>
      </c>
      <c r="M461" s="28">
        <f>IF(AND(ISNUMBER(SEARCH("Dinner",$C461)),$D461="Asian"),RAND(),"")</f>
        <v/>
      </c>
      <c r="N461" s="28">
        <f>IF(AND(ISNUMBER(SEARCH("Dinner",$C461)),$D461="Chinese"),RAND(),"")</f>
        <v/>
      </c>
      <c r="O461" s="28">
        <f>IF(AND(ISNUMBER(SEARCH("Dinner",$C461)),$D461="Western"),RAND(),"")</f>
        <v/>
      </c>
    </row>
    <row r="462" ht="15.75" customHeight="1" s="36">
      <c r="A462" s="18" t="inlineStr">
        <is>
          <t>tofu pidan</t>
        </is>
      </c>
      <c r="B462" s="18" t="inlineStr">
        <is>
          <t>Tofu, Pidan, Oyster sauce, Cilantro</t>
        </is>
      </c>
      <c r="C462" s="17" t="inlineStr">
        <is>
          <t>Dinner</t>
        </is>
      </c>
      <c r="D462" s="26" t="inlineStr">
        <is>
          <t>Chinese</t>
        </is>
      </c>
      <c r="E462" s="17" t="inlineStr">
        <is>
          <t>High</t>
        </is>
      </c>
      <c r="F462" s="19" t="inlineStr">
        <is>
          <t>https://icook.tw/recipes/436830?utm_source=copy&amp;utm_medium=sharev3&amp;utm_campaign=recipe-share</t>
        </is>
      </c>
      <c r="G462" s="27">
        <f>IF(AND(ISNUMBER(SEARCH("Breakfast",$C462)),$D462="Asian"),RAND(),"")</f>
        <v/>
      </c>
      <c r="H462" s="27">
        <f>IF(AND(ISNUMBER(SEARCH("Breakfast",$C462)),$D462="Chinese"),RAND(),"")</f>
        <v/>
      </c>
      <c r="I462" s="27">
        <f>IF(AND(ISNUMBER(SEARCH("Breakfast",$C462)),$D462="Western"),RAND(),"")</f>
        <v/>
      </c>
      <c r="J462" s="27">
        <f>IF(AND(ISNUMBER(SEARCH("Lunch",$C462)),$D462="Asian"),RAND(),"")</f>
        <v/>
      </c>
      <c r="K462" s="27">
        <f>IF(AND(ISNUMBER(SEARCH("Lunch",$C462)),$D462="Chinese"),RAND(),"")</f>
        <v/>
      </c>
      <c r="L462" s="27">
        <f>IF(AND(ISNUMBER(SEARCH("Lunch",$C462)),$D462="Western"),RAND(),"")</f>
        <v/>
      </c>
      <c r="M462" s="27">
        <f>IF(AND(ISNUMBER(SEARCH("Dinner",$C462)),$D462="Asian"),RAND(),"")</f>
        <v/>
      </c>
      <c r="N462" s="27">
        <f>IF(AND(ISNUMBER(SEARCH("Dinner",$C462)),$D462="Chinese"),RAND(),"")</f>
        <v/>
      </c>
      <c r="O462" s="27">
        <f>IF(AND(ISNUMBER(SEARCH("Dinner",$C462)),$D462="Western"),RAND(),"")</f>
        <v/>
      </c>
    </row>
    <row r="463" ht="15.75" customHeight="1" s="36">
      <c r="A463" s="22" t="inlineStr">
        <is>
          <t>Tofu scramble</t>
        </is>
      </c>
      <c r="B463" s="22" t="inlineStr">
        <is>
          <t>Almond milk, Garlic, Dijon mustard, Tumeric, Cumin, Onion, Extra firm tofu, Tomatoes, Avocados, Spinach, Cilantros, Tortillas</t>
        </is>
      </c>
      <c r="C463" s="21" t="inlineStr">
        <is>
          <t>Dinner</t>
        </is>
      </c>
      <c r="D463" s="26" t="inlineStr">
        <is>
          <t>Chinese</t>
        </is>
      </c>
      <c r="E463" s="21" t="inlineStr">
        <is>
          <t>Med</t>
        </is>
      </c>
      <c r="F463" s="23" t="inlineStr">
        <is>
          <t>https://www.loveandlemons.com/tofu-scramble/</t>
        </is>
      </c>
      <c r="G463" s="28">
        <f>IF(AND(ISNUMBER(SEARCH("Breakfast",$C463)),$D463="Asian"),RAND(),"")</f>
        <v/>
      </c>
      <c r="H463" s="28">
        <f>IF(AND(ISNUMBER(SEARCH("Breakfast",$C463)),$D463="Chinese"),RAND(),"")</f>
        <v/>
      </c>
      <c r="I463" s="28">
        <f>IF(AND(ISNUMBER(SEARCH("Breakfast",$C463)),$D463="Western"),RAND(),"")</f>
        <v/>
      </c>
      <c r="J463" s="28">
        <f>IF(AND(ISNUMBER(SEARCH("Lunch",$C463)),$D463="Asian"),RAND(),"")</f>
        <v/>
      </c>
      <c r="K463" s="28">
        <f>IF(AND(ISNUMBER(SEARCH("Lunch",$C463)),$D463="Chinese"),RAND(),"")</f>
        <v/>
      </c>
      <c r="L463" s="28">
        <f>IF(AND(ISNUMBER(SEARCH("Lunch",$C463)),$D463="Western"),RAND(),"")</f>
        <v/>
      </c>
      <c r="M463" s="28">
        <f>IF(AND(ISNUMBER(SEARCH("Dinner",$C463)),$D463="Asian"),RAND(),"")</f>
        <v/>
      </c>
      <c r="N463" s="28">
        <f>IF(AND(ISNUMBER(SEARCH("Dinner",$C463)),$D463="Chinese"),RAND(),"")</f>
        <v/>
      </c>
      <c r="O463" s="28">
        <f>IF(AND(ISNUMBER(SEARCH("Dinner",$C463)),$D463="Western"),RAND(),"")</f>
        <v/>
      </c>
    </row>
    <row r="464" ht="15.75" customHeight="1" s="36">
      <c r="A464" s="18" t="inlineStr">
        <is>
          <t>Tofu Soba</t>
        </is>
      </c>
      <c r="B464" s="18" t="inlineStr">
        <is>
          <t>Tsuyu, Tofu, Soba, Lemon</t>
        </is>
      </c>
      <c r="C464" s="17" t="inlineStr">
        <is>
          <t>Lunch</t>
        </is>
      </c>
      <c r="D464" s="29" t="inlineStr">
        <is>
          <t>Asian</t>
        </is>
      </c>
      <c r="E464" s="17" t="inlineStr">
        <is>
          <t>Low</t>
        </is>
      </c>
      <c r="F464" s="19" t="inlineStr">
        <is>
          <t>https://youtube.com/shorts/hcNSx9PVoRc?si=HtLU86epPECFawo7</t>
        </is>
      </c>
      <c r="G464" s="27">
        <f>IF(AND(ISNUMBER(SEARCH("Breakfast",$C464)),$D464="Asian"),RAND(),"")</f>
        <v/>
      </c>
      <c r="H464" s="27">
        <f>IF(AND(ISNUMBER(SEARCH("Breakfast",$C464)),$D464="Chinese"),RAND(),"")</f>
        <v/>
      </c>
      <c r="I464" s="27">
        <f>IF(AND(ISNUMBER(SEARCH("Breakfast",$C464)),$D464="Western"),RAND(),"")</f>
        <v/>
      </c>
      <c r="J464" s="27">
        <f>IF(AND(ISNUMBER(SEARCH("Lunch",$C464)),$D464="Asian"),RAND(),"")</f>
        <v/>
      </c>
      <c r="K464" s="27">
        <f>IF(AND(ISNUMBER(SEARCH("Lunch",$C464)),$D464="Chinese"),RAND(),"")</f>
        <v/>
      </c>
      <c r="L464" s="27">
        <f>IF(AND(ISNUMBER(SEARCH("Lunch",$C464)),$D464="Western"),RAND(),"")</f>
        <v/>
      </c>
      <c r="M464" s="27">
        <f>IF(AND(ISNUMBER(SEARCH("Dinner",$C464)),$D464="Asian"),RAND(),"")</f>
        <v/>
      </c>
      <c r="N464" s="27">
        <f>IF(AND(ISNUMBER(SEARCH("Dinner",$C464)),$D464="Chinese"),RAND(),"")</f>
        <v/>
      </c>
      <c r="O464" s="27">
        <f>IF(AND(ISNUMBER(SEARCH("Dinner",$C464)),$D464="Western"),RAND(),"")</f>
        <v/>
      </c>
    </row>
    <row r="465" ht="15.75" customHeight="1" s="36">
      <c r="A465" s="22" t="inlineStr">
        <is>
          <t>Tomato Egg</t>
        </is>
      </c>
      <c r="B465" s="22" t="inlineStr">
        <is>
          <t>Tomato, Egg, Spring Onion, Milk, Ketchup, Salt, Chicken Stock, Rice Wine</t>
        </is>
      </c>
      <c r="C465" s="21" t="inlineStr">
        <is>
          <t>Lunch</t>
        </is>
      </c>
      <c r="D465" s="33" t="inlineStr">
        <is>
          <t>Chinese</t>
        </is>
      </c>
      <c r="E465" s="21" t="inlineStr">
        <is>
          <t>Low</t>
        </is>
      </c>
      <c r="F465" s="23" t="inlineStr">
        <is>
          <t>https://icook.tw/recipes/393744?utm_source=copy&amp;utm_medium=sharev3&amp;utm_campaign=recipe-share</t>
        </is>
      </c>
      <c r="G465" s="28">
        <f>IF(AND(ISNUMBER(SEARCH("Breakfast",$C465)),$D465="Asian"),RAND(),"")</f>
        <v/>
      </c>
      <c r="H465" s="28">
        <f>IF(AND(ISNUMBER(SEARCH("Breakfast",$C465)),$D465="Chinese"),RAND(),"")</f>
        <v/>
      </c>
      <c r="I465" s="28">
        <f>IF(AND(ISNUMBER(SEARCH("Breakfast",$C465)),$D465="Western"),RAND(),"")</f>
        <v/>
      </c>
      <c r="J465" s="28">
        <f>IF(AND(ISNUMBER(SEARCH("Lunch",$C465)),$D465="Asian"),RAND(),"")</f>
        <v/>
      </c>
      <c r="K465" s="28">
        <f>IF(AND(ISNUMBER(SEARCH("Lunch",$C465)),$D465="Chinese"),RAND(),"")</f>
        <v/>
      </c>
      <c r="L465" s="28">
        <f>IF(AND(ISNUMBER(SEARCH("Lunch",$C465)),$D465="Western"),RAND(),"")</f>
        <v/>
      </c>
      <c r="M465" s="28">
        <f>IF(AND(ISNUMBER(SEARCH("Dinner",$C465)),$D465="Asian"),RAND(),"")</f>
        <v/>
      </c>
      <c r="N465" s="28">
        <f>IF(AND(ISNUMBER(SEARCH("Dinner",$C465)),$D465="Chinese"),RAND(),"")</f>
        <v/>
      </c>
      <c r="O465" s="28">
        <f>IF(AND(ISNUMBER(SEARCH("Dinner",$C465)),$D465="Western"),RAND(),"")</f>
        <v/>
      </c>
    </row>
    <row r="466" ht="15.75" customHeight="1" s="36">
      <c r="A466" s="18" t="inlineStr">
        <is>
          <t>Tomato Egg Dish</t>
        </is>
      </c>
      <c r="B466" s="18" t="inlineStr">
        <is>
          <t>Tomato, Eggs, Onion, Red Bell Pepper, Grated Cheese, Paprika, Oregano, Salt</t>
        </is>
      </c>
      <c r="C466" s="17" t="inlineStr">
        <is>
          <t>Dinner</t>
        </is>
      </c>
      <c r="D466" s="33" t="inlineStr">
        <is>
          <t>Chinese</t>
        </is>
      </c>
      <c r="E466" s="17" t="inlineStr">
        <is>
          <t>Low</t>
        </is>
      </c>
      <c r="F466" s="19" t="inlineStr">
        <is>
          <t>https://www.instagram.com/reel/DM_VnEgob6M/?igsh=MXV4MHU2ZTZ4cHJ1dg==</t>
        </is>
      </c>
      <c r="G466" s="27">
        <f>IF(AND(ISNUMBER(SEARCH("Breakfast",$C466)),$D466="Asian"),RAND(),"")</f>
        <v/>
      </c>
      <c r="H466" s="27">
        <f>IF(AND(ISNUMBER(SEARCH("Breakfast",$C466)),$D466="Chinese"),RAND(),"")</f>
        <v/>
      </c>
      <c r="I466" s="27">
        <f>IF(AND(ISNUMBER(SEARCH("Breakfast",$C466)),$D466="Western"),RAND(),"")</f>
        <v/>
      </c>
      <c r="J466" s="27">
        <f>IF(AND(ISNUMBER(SEARCH("Lunch",$C466)),$D466="Asian"),RAND(),"")</f>
        <v/>
      </c>
      <c r="K466" s="27">
        <f>IF(AND(ISNUMBER(SEARCH("Lunch",$C466)),$D466="Chinese"),RAND(),"")</f>
        <v/>
      </c>
      <c r="L466" s="27">
        <f>IF(AND(ISNUMBER(SEARCH("Lunch",$C466)),$D466="Western"),RAND(),"")</f>
        <v/>
      </c>
      <c r="M466" s="27">
        <f>IF(AND(ISNUMBER(SEARCH("Dinner",$C466)),$D466="Asian"),RAND(),"")</f>
        <v/>
      </c>
      <c r="N466" s="27">
        <f>IF(AND(ISNUMBER(SEARCH("Dinner",$C466)),$D466="Chinese"),RAND(),"")</f>
        <v/>
      </c>
      <c r="O466" s="27">
        <f>IF(AND(ISNUMBER(SEARCH("Dinner",$C466)),$D466="Western"),RAND(),"")</f>
        <v/>
      </c>
    </row>
    <row r="467" ht="15.75" customHeight="1" s="36">
      <c r="A467" s="22" t="inlineStr">
        <is>
          <t>Tomato fish Ball soup</t>
        </is>
      </c>
      <c r="B467" s="22" t="inlineStr">
        <is>
          <t>Tomato, 鱼丸, 姜, 酸菜, 酸梅, 豆腐, soy sauce, white pepper, Salt, 冬粉</t>
        </is>
      </c>
      <c r="C467" s="21" t="inlineStr">
        <is>
          <t>Lunch</t>
        </is>
      </c>
      <c r="D467" s="26" t="inlineStr">
        <is>
          <t>Chinese</t>
        </is>
      </c>
      <c r="E467" s="21" t="inlineStr">
        <is>
          <t>High</t>
        </is>
      </c>
      <c r="F467" s="23" t="inlineStr">
        <is>
          <t>https://www.instagram.com/reel/DJRGKQbz4vQ/?igsh=OHk4emw0N3U1Ym45</t>
        </is>
      </c>
      <c r="G467" s="28">
        <f>IF(AND(ISNUMBER(SEARCH("Breakfast",$C467)),$D467="Asian"),RAND(),"")</f>
        <v/>
      </c>
      <c r="H467" s="28">
        <f>IF(AND(ISNUMBER(SEARCH("Breakfast",$C467)),$D467="Chinese"),RAND(),"")</f>
        <v/>
      </c>
      <c r="I467" s="28">
        <f>IF(AND(ISNUMBER(SEARCH("Breakfast",$C467)),$D467="Western"),RAND(),"")</f>
        <v/>
      </c>
      <c r="J467" s="28">
        <f>IF(AND(ISNUMBER(SEARCH("Lunch",$C467)),$D467="Asian"),RAND(),"")</f>
        <v/>
      </c>
      <c r="K467" s="28">
        <f>IF(AND(ISNUMBER(SEARCH("Lunch",$C467)),$D467="Chinese"),RAND(),"")</f>
        <v/>
      </c>
      <c r="L467" s="28">
        <f>IF(AND(ISNUMBER(SEARCH("Lunch",$C467)),$D467="Western"),RAND(),"")</f>
        <v/>
      </c>
      <c r="M467" s="28">
        <f>IF(AND(ISNUMBER(SEARCH("Dinner",$C467)),$D467="Asian"),RAND(),"")</f>
        <v/>
      </c>
      <c r="N467" s="28">
        <f>IF(AND(ISNUMBER(SEARCH("Dinner",$C467)),$D467="Chinese"),RAND(),"")</f>
        <v/>
      </c>
      <c r="O467" s="28">
        <f>IF(AND(ISNUMBER(SEARCH("Dinner",$C467)),$D467="Western"),RAND(),"")</f>
        <v/>
      </c>
      <c r="P467" s="0" t="b">
        <v>1</v>
      </c>
    </row>
    <row r="468" ht="15.75" customHeight="1" s="36">
      <c r="A468" s="18" t="inlineStr">
        <is>
          <t>Tonjiro</t>
        </is>
      </c>
      <c r="B468" s="18" t="inlineStr">
        <is>
          <t>Burdock, Pork Jowl slices, Daikon, Taro, Carrot, Shiitake, Scallions, Shirataki Noodles, Dashi Soup, Miso</t>
        </is>
      </c>
      <c r="C468" s="17" t="inlineStr">
        <is>
          <t>Dinner</t>
        </is>
      </c>
      <c r="D468" s="29" t="inlineStr">
        <is>
          <t>Asian</t>
        </is>
      </c>
      <c r="E468" s="17" t="inlineStr">
        <is>
          <t>High</t>
        </is>
      </c>
      <c r="F468" s="18" t="n"/>
      <c r="G468" s="27">
        <f>IF(AND(ISNUMBER(SEARCH("Breakfast",$C468)),$D468="Asian"),RAND(),"")</f>
        <v/>
      </c>
      <c r="H468" s="27">
        <f>IF(AND(ISNUMBER(SEARCH("Breakfast",$C468)),$D468="Chinese"),RAND(),"")</f>
        <v/>
      </c>
      <c r="I468" s="27">
        <f>IF(AND(ISNUMBER(SEARCH("Breakfast",$C468)),$D468="Western"),RAND(),"")</f>
        <v/>
      </c>
      <c r="J468" s="27">
        <f>IF(AND(ISNUMBER(SEARCH("Lunch",$C468)),$D468="Asian"),RAND(),"")</f>
        <v/>
      </c>
      <c r="K468" s="27">
        <f>IF(AND(ISNUMBER(SEARCH("Lunch",$C468)),$D468="Chinese"),RAND(),"")</f>
        <v/>
      </c>
      <c r="L468" s="27">
        <f>IF(AND(ISNUMBER(SEARCH("Lunch",$C468)),$D468="Western"),RAND(),"")</f>
        <v/>
      </c>
      <c r="M468" s="27">
        <f>IF(AND(ISNUMBER(SEARCH("Dinner",$C468)),$D468="Asian"),RAND(),"")</f>
        <v/>
      </c>
      <c r="N468" s="27">
        <f>IF(AND(ISNUMBER(SEARCH("Dinner",$C468)),$D468="Chinese"),RAND(),"")</f>
        <v/>
      </c>
      <c r="O468" s="27">
        <f>IF(AND(ISNUMBER(SEARCH("Dinner",$C468)),$D468="Western"),RAND(),"")</f>
        <v/>
      </c>
    </row>
    <row r="469" ht="15.75" customHeight="1" s="36">
      <c r="A469" s="22" t="inlineStr">
        <is>
          <t>Tsukemen</t>
        </is>
      </c>
      <c r="B469" s="22" t="inlineStr">
        <is>
          <t>—</t>
        </is>
      </c>
      <c r="C469" s="21" t="inlineStr">
        <is>
          <t>Lunch</t>
        </is>
      </c>
      <c r="D469" s="29" t="inlineStr">
        <is>
          <t>Asian</t>
        </is>
      </c>
      <c r="E469" s="21" t="inlineStr">
        <is>
          <t>Med</t>
        </is>
      </c>
      <c r="F469" s="22" t="n"/>
      <c r="G469" s="28">
        <f>IF(AND(ISNUMBER(SEARCH("Breakfast",$C469)),$D469="Asian"),RAND(),"")</f>
        <v/>
      </c>
      <c r="H469" s="28">
        <f>IF(AND(ISNUMBER(SEARCH("Breakfast",$C469)),$D469="Chinese"),RAND(),"")</f>
        <v/>
      </c>
      <c r="I469" s="28">
        <f>IF(AND(ISNUMBER(SEARCH("Breakfast",$C469)),$D469="Western"),RAND(),"")</f>
        <v/>
      </c>
      <c r="J469" s="28">
        <f>IF(AND(ISNUMBER(SEARCH("Lunch",$C469)),$D469="Asian"),RAND(),"")</f>
        <v/>
      </c>
      <c r="K469" s="28">
        <f>IF(AND(ISNUMBER(SEARCH("Lunch",$C469)),$D469="Chinese"),RAND(),"")</f>
        <v/>
      </c>
      <c r="L469" s="28">
        <f>IF(AND(ISNUMBER(SEARCH("Lunch",$C469)),$D469="Western"),RAND(),"")</f>
        <v/>
      </c>
      <c r="M469" s="28">
        <f>IF(AND(ISNUMBER(SEARCH("Dinner",$C469)),$D469="Asian"),RAND(),"")</f>
        <v/>
      </c>
      <c r="N469" s="28">
        <f>IF(AND(ISNUMBER(SEARCH("Dinner",$C469)),$D469="Chinese"),RAND(),"")</f>
        <v/>
      </c>
      <c r="O469" s="28">
        <f>IF(AND(ISNUMBER(SEARCH("Dinner",$C469)),$D469="Western"),RAND(),"")</f>
        <v/>
      </c>
    </row>
    <row r="470" ht="15.75" customHeight="1" s="36">
      <c r="A470" s="18" t="inlineStr">
        <is>
          <t>Tuna Avocado Cripsy Rice Salad</t>
        </is>
      </c>
      <c r="B470" s="18" t="inlineStr">
        <is>
          <t>Rice, Soy Sauce, Dark Soy Sauce, Sesame Oil, Olive Oil, Canned Tuna, Cucumber, Avocado, Spring Onion, Sesame Seed, Mayo, Rice Vinegar, Honey, Sriracha</t>
        </is>
      </c>
      <c r="C470" s="17" t="inlineStr">
        <is>
          <t>Lunch</t>
        </is>
      </c>
      <c r="D470" s="30" t="inlineStr">
        <is>
          <t>Western</t>
        </is>
      </c>
      <c r="E470" s="17" t="inlineStr">
        <is>
          <t>Med</t>
        </is>
      </c>
      <c r="F470" s="19" t="inlineStr">
        <is>
          <t>https://www.instagram.com/p/DQmF-OqjPOr/?img_index=1&amp;igsh=NzdpdzdkeGlicmhz</t>
        </is>
      </c>
      <c r="G470" s="27">
        <f>IF(AND(ISNUMBER(SEARCH("Breakfast",$C470)),$D470="Asian"),RAND(),"")</f>
        <v/>
      </c>
      <c r="H470" s="27">
        <f>IF(AND(ISNUMBER(SEARCH("Breakfast",$C470)),$D470="Chinese"),RAND(),"")</f>
        <v/>
      </c>
      <c r="I470" s="27">
        <f>IF(AND(ISNUMBER(SEARCH("Breakfast",$C470)),$D470="Western"),RAND(),"")</f>
        <v/>
      </c>
      <c r="J470" s="27">
        <f>IF(AND(ISNUMBER(SEARCH("Lunch",$C470)),$D470="Asian"),RAND(),"")</f>
        <v/>
      </c>
      <c r="K470" s="27">
        <f>IF(AND(ISNUMBER(SEARCH("Lunch",$C470)),$D470="Chinese"),RAND(),"")</f>
        <v/>
      </c>
      <c r="L470" s="27">
        <f>IF(AND(ISNUMBER(SEARCH("Lunch",$C470)),$D470="Western"),RAND(),"")</f>
        <v/>
      </c>
      <c r="M470" s="27">
        <f>IF(AND(ISNUMBER(SEARCH("Dinner",$C470)),$D470="Asian"),RAND(),"")</f>
        <v/>
      </c>
      <c r="N470" s="27">
        <f>IF(AND(ISNUMBER(SEARCH("Dinner",$C470)),$D470="Chinese"),RAND(),"")</f>
        <v/>
      </c>
      <c r="O470" s="27">
        <f>IF(AND(ISNUMBER(SEARCH("Dinner",$C470)),$D470="Western"),RAND(),"")</f>
        <v/>
      </c>
    </row>
    <row r="471" ht="15.75" customHeight="1" s="36">
      <c r="A471" s="22" t="inlineStr">
        <is>
          <t>Vegan Breakfast Burritos</t>
        </is>
      </c>
      <c r="B471" s="22" t="inlineStr">
        <is>
          <t>Tofu, Onion, Garlic, Turmeric, Paprika, Soy sauce, Potato, Red pepper, Pinto beans, Avocado, Tortillas</t>
        </is>
      </c>
      <c r="C471" s="21" t="inlineStr">
        <is>
          <t>Dinner, Lunch</t>
        </is>
      </c>
      <c r="D471" s="30" t="inlineStr">
        <is>
          <t>Western</t>
        </is>
      </c>
      <c r="E471" s="21" t="inlineStr">
        <is>
          <t>Low</t>
        </is>
      </c>
      <c r="F471" s="23" t="inlineStr">
        <is>
          <t>https://choosingchia.com/vegan-breakfast-burrito/</t>
        </is>
      </c>
      <c r="G471" s="28">
        <f>IF(AND(ISNUMBER(SEARCH("Breakfast",$C471)),$D471="Asian"),RAND(),"")</f>
        <v/>
      </c>
      <c r="H471" s="28">
        <f>IF(AND(ISNUMBER(SEARCH("Breakfast",$C471)),$D471="Chinese"),RAND(),"")</f>
        <v/>
      </c>
      <c r="I471" s="28">
        <f>IF(AND(ISNUMBER(SEARCH("Breakfast",$C471)),$D471="Western"),RAND(),"")</f>
        <v/>
      </c>
      <c r="J471" s="28">
        <f>IF(AND(ISNUMBER(SEARCH("Lunch",$C471)),$D471="Asian"),RAND(),"")</f>
        <v/>
      </c>
      <c r="K471" s="28">
        <f>IF(AND(ISNUMBER(SEARCH("Lunch",$C471)),$D471="Chinese"),RAND(),"")</f>
        <v/>
      </c>
      <c r="L471" s="28">
        <f>IF(AND(ISNUMBER(SEARCH("Lunch",$C471)),$D471="Western"),RAND(),"")</f>
        <v/>
      </c>
      <c r="M471" s="28">
        <f>IF(AND(ISNUMBER(SEARCH("Dinner",$C471)),$D471="Asian"),RAND(),"")</f>
        <v/>
      </c>
      <c r="N471" s="28">
        <f>IF(AND(ISNUMBER(SEARCH("Dinner",$C471)),$D471="Chinese"),RAND(),"")</f>
        <v/>
      </c>
      <c r="O471" s="28">
        <f>IF(AND(ISNUMBER(SEARCH("Dinner",$C471)),$D471="Western"),RAND(),"")</f>
        <v/>
      </c>
    </row>
    <row r="472" ht="15.75" customHeight="1" s="36">
      <c r="A472" s="18" t="inlineStr">
        <is>
          <t>Vegan Egg Muffin</t>
        </is>
      </c>
      <c r="B472" s="18" t="inlineStr">
        <is>
          <t>Potatoes, tomato's, Chickpea flour, Basil leaves, Spinach, Zucchini, Spring onions</t>
        </is>
      </c>
      <c r="C472" s="17" t="inlineStr">
        <is>
          <t>Lunch</t>
        </is>
      </c>
      <c r="D472" s="30" t="inlineStr">
        <is>
          <t>Western</t>
        </is>
      </c>
      <c r="E472" s="17" t="inlineStr">
        <is>
          <t>Med</t>
        </is>
      </c>
      <c r="F472" s="19" t="inlineStr">
        <is>
          <t>https://gatheringdreams.com/vegan-egg-muffins/#recipe</t>
        </is>
      </c>
      <c r="G472" s="27">
        <f>IF(AND(ISNUMBER(SEARCH("Breakfast",$C472)),$D472="Asian"),RAND(),"")</f>
        <v/>
      </c>
      <c r="H472" s="27">
        <f>IF(AND(ISNUMBER(SEARCH("Breakfast",$C472)),$D472="Chinese"),RAND(),"")</f>
        <v/>
      </c>
      <c r="I472" s="27">
        <f>IF(AND(ISNUMBER(SEARCH("Breakfast",$C472)),$D472="Western"),RAND(),"")</f>
        <v/>
      </c>
      <c r="J472" s="27">
        <f>IF(AND(ISNUMBER(SEARCH("Lunch",$C472)),$D472="Asian"),RAND(),"")</f>
        <v/>
      </c>
      <c r="K472" s="27">
        <f>IF(AND(ISNUMBER(SEARCH("Lunch",$C472)),$D472="Chinese"),RAND(),"")</f>
        <v/>
      </c>
      <c r="L472" s="27">
        <f>IF(AND(ISNUMBER(SEARCH("Lunch",$C472)),$D472="Western"),RAND(),"")</f>
        <v/>
      </c>
      <c r="M472" s="27">
        <f>IF(AND(ISNUMBER(SEARCH("Dinner",$C472)),$D472="Asian"),RAND(),"")</f>
        <v/>
      </c>
      <c r="N472" s="27">
        <f>IF(AND(ISNUMBER(SEARCH("Dinner",$C472)),$D472="Chinese"),RAND(),"")</f>
        <v/>
      </c>
      <c r="O472" s="27">
        <f>IF(AND(ISNUMBER(SEARCH("Dinner",$C472)),$D472="Western"),RAND(),"")</f>
        <v/>
      </c>
    </row>
    <row r="473" ht="15.75" customHeight="1" s="36">
      <c r="A473" s="22" t="inlineStr">
        <is>
          <t>Vegan Tom Yum</t>
        </is>
      </c>
      <c r="B473" s="22" t="inlineStr">
        <is>
          <t>Zucchini, Enoki Mushroom, Hyong ling, Chinese Spniach, Shimeji mushroom, lemongrass, Ginger, Kafir Lime, Lemon Leaves</t>
        </is>
      </c>
      <c r="C473" s="21" t="inlineStr">
        <is>
          <t>Lunch</t>
        </is>
      </c>
      <c r="D473" s="29" t="inlineStr">
        <is>
          <t>Asian</t>
        </is>
      </c>
      <c r="E473" s="21" t="inlineStr">
        <is>
          <t>High</t>
        </is>
      </c>
      <c r="F473" s="23" t="inlineStr">
        <is>
          <t>http://xhslink.com/xpEekA</t>
        </is>
      </c>
      <c r="G473" s="28">
        <f>IF(AND(ISNUMBER(SEARCH("Breakfast",$C473)),$D473="Asian"),RAND(),"")</f>
        <v/>
      </c>
      <c r="H473" s="28">
        <f>IF(AND(ISNUMBER(SEARCH("Breakfast",$C473)),$D473="Chinese"),RAND(),"")</f>
        <v/>
      </c>
      <c r="I473" s="28">
        <f>IF(AND(ISNUMBER(SEARCH("Breakfast",$C473)),$D473="Western"),RAND(),"")</f>
        <v/>
      </c>
      <c r="J473" s="28">
        <f>IF(AND(ISNUMBER(SEARCH("Lunch",$C473)),$D473="Asian"),RAND(),"")</f>
        <v/>
      </c>
      <c r="K473" s="28">
        <f>IF(AND(ISNUMBER(SEARCH("Lunch",$C473)),$D473="Chinese"),RAND(),"")</f>
        <v/>
      </c>
      <c r="L473" s="28">
        <f>IF(AND(ISNUMBER(SEARCH("Lunch",$C473)),$D473="Western"),RAND(),"")</f>
        <v/>
      </c>
      <c r="M473" s="28">
        <f>IF(AND(ISNUMBER(SEARCH("Dinner",$C473)),$D473="Asian"),RAND(),"")</f>
        <v/>
      </c>
      <c r="N473" s="28">
        <f>IF(AND(ISNUMBER(SEARCH("Dinner",$C473)),$D473="Chinese"),RAND(),"")</f>
        <v/>
      </c>
      <c r="O473" s="28">
        <f>IF(AND(ISNUMBER(SEARCH("Dinner",$C473)),$D473="Western"),RAND(),"")</f>
        <v/>
      </c>
    </row>
    <row r="474" ht="15.75" customHeight="1" s="36">
      <c r="A474" s="18" t="inlineStr">
        <is>
          <t>Vege Beehoon</t>
        </is>
      </c>
      <c r="B474" s="18" t="inlineStr">
        <is>
          <t>—</t>
        </is>
      </c>
      <c r="C474" s="17" t="inlineStr">
        <is>
          <t>Breakfast</t>
        </is>
      </c>
      <c r="D474" s="26" t="inlineStr">
        <is>
          <t>Chinese</t>
        </is>
      </c>
      <c r="E474" s="17" t="inlineStr">
        <is>
          <t>Med</t>
        </is>
      </c>
      <c r="F474" s="18" t="n"/>
      <c r="G474" s="27">
        <f>IF(AND(ISNUMBER(SEARCH("Breakfast",$C474)),$D474="Asian"),RAND(),"")</f>
        <v/>
      </c>
      <c r="H474" s="27">
        <f>IF(AND(ISNUMBER(SEARCH("Breakfast",$C474)),$D474="Chinese"),RAND(),"")</f>
        <v/>
      </c>
      <c r="I474" s="27">
        <f>IF(AND(ISNUMBER(SEARCH("Breakfast",$C474)),$D474="Western"),RAND(),"")</f>
        <v/>
      </c>
      <c r="J474" s="27">
        <f>IF(AND(ISNUMBER(SEARCH("Lunch",$C474)),$D474="Asian"),RAND(),"")</f>
        <v/>
      </c>
      <c r="K474" s="27">
        <f>IF(AND(ISNUMBER(SEARCH("Lunch",$C474)),$D474="Chinese"),RAND(),"")</f>
        <v/>
      </c>
      <c r="L474" s="27">
        <f>IF(AND(ISNUMBER(SEARCH("Lunch",$C474)),$D474="Western"),RAND(),"")</f>
        <v/>
      </c>
      <c r="M474" s="27">
        <f>IF(AND(ISNUMBER(SEARCH("Dinner",$C474)),$D474="Asian"),RAND(),"")</f>
        <v/>
      </c>
      <c r="N474" s="27">
        <f>IF(AND(ISNUMBER(SEARCH("Dinner",$C474)),$D474="Chinese"),RAND(),"")</f>
        <v/>
      </c>
      <c r="O474" s="27">
        <f>IF(AND(ISNUMBER(SEARCH("Dinner",$C474)),$D474="Western"),RAND(),"")</f>
        <v/>
      </c>
    </row>
    <row r="475" ht="15.75" customHeight="1" s="36">
      <c r="A475" s="22" t="inlineStr">
        <is>
          <t>Vege Dish 2</t>
        </is>
      </c>
      <c r="B475" s="22" t="inlineStr">
        <is>
          <t>Cabbage, Miso Paste, Garlic, Ginger, Scallions, Lime, Rice vinegar</t>
        </is>
      </c>
      <c r="C475" s="21" t="inlineStr">
        <is>
          <t>Dinner</t>
        </is>
      </c>
      <c r="D475" s="29" t="inlineStr">
        <is>
          <t>Asian</t>
        </is>
      </c>
      <c r="E475" s="21" t="inlineStr">
        <is>
          <t>Med</t>
        </is>
      </c>
      <c r="F475" s="23" t="inlineStr">
        <is>
          <t>https://www.kitchenstories.com/en/recipes/easy-miso-glazed-cabbage</t>
        </is>
      </c>
      <c r="G475" s="28">
        <f>IF(AND(ISNUMBER(SEARCH("Breakfast",$C475)),$D475="Asian"),RAND(),"")</f>
        <v/>
      </c>
      <c r="H475" s="28">
        <f>IF(AND(ISNUMBER(SEARCH("Breakfast",$C475)),$D475="Chinese"),RAND(),"")</f>
        <v/>
      </c>
      <c r="I475" s="28">
        <f>IF(AND(ISNUMBER(SEARCH("Breakfast",$C475)),$D475="Western"),RAND(),"")</f>
        <v/>
      </c>
      <c r="J475" s="28">
        <f>IF(AND(ISNUMBER(SEARCH("Lunch",$C475)),$D475="Asian"),RAND(),"")</f>
        <v/>
      </c>
      <c r="K475" s="28">
        <f>IF(AND(ISNUMBER(SEARCH("Lunch",$C475)),$D475="Chinese"),RAND(),"")</f>
        <v/>
      </c>
      <c r="L475" s="28">
        <f>IF(AND(ISNUMBER(SEARCH("Lunch",$C475)),$D475="Western"),RAND(),"")</f>
        <v/>
      </c>
      <c r="M475" s="28">
        <f>IF(AND(ISNUMBER(SEARCH("Dinner",$C475)),$D475="Asian"),RAND(),"")</f>
        <v/>
      </c>
      <c r="N475" s="28">
        <f>IF(AND(ISNUMBER(SEARCH("Dinner",$C475)),$D475="Chinese"),RAND(),"")</f>
        <v/>
      </c>
      <c r="O475" s="28">
        <f>IF(AND(ISNUMBER(SEARCH("Dinner",$C475)),$D475="Western"),RAND(),"")</f>
        <v/>
      </c>
    </row>
    <row r="476" ht="15.75" customHeight="1" s="36">
      <c r="A476" s="18" t="inlineStr">
        <is>
          <t>Vege Dish 3</t>
        </is>
      </c>
      <c r="B476" s="18" t="inlineStr">
        <is>
          <t>Seafood Mushroom, Red Bell Peppers, Garlic, Ground Bean Sauce, Chicken Powder, Cornstarch, Green Beans 四季豆, Mango, Avocado, Cucumber, Green onion, Chilli, Mint, Cilantro, Bell peppers, Cashews, Lime</t>
        </is>
      </c>
      <c r="C476" s="17" t="inlineStr">
        <is>
          <t>Dinner</t>
        </is>
      </c>
      <c r="D476" s="26" t="inlineStr">
        <is>
          <t>Chinese</t>
        </is>
      </c>
      <c r="E476" s="17" t="inlineStr">
        <is>
          <t>Med</t>
        </is>
      </c>
      <c r="F476" s="18" t="n"/>
      <c r="G476" s="27">
        <f>IF(AND(ISNUMBER(SEARCH("Breakfast",$C476)),$D476="Asian"),RAND(),"")</f>
        <v/>
      </c>
      <c r="H476" s="27">
        <f>IF(AND(ISNUMBER(SEARCH("Breakfast",$C476)),$D476="Chinese"),RAND(),"")</f>
        <v/>
      </c>
      <c r="I476" s="27">
        <f>IF(AND(ISNUMBER(SEARCH("Breakfast",$C476)),$D476="Western"),RAND(),"")</f>
        <v/>
      </c>
      <c r="J476" s="27">
        <f>IF(AND(ISNUMBER(SEARCH("Lunch",$C476)),$D476="Asian"),RAND(),"")</f>
        <v/>
      </c>
      <c r="K476" s="27">
        <f>IF(AND(ISNUMBER(SEARCH("Lunch",$C476)),$D476="Chinese"),RAND(),"")</f>
        <v/>
      </c>
      <c r="L476" s="27">
        <f>IF(AND(ISNUMBER(SEARCH("Lunch",$C476)),$D476="Western"),RAND(),"")</f>
        <v/>
      </c>
      <c r="M476" s="27">
        <f>IF(AND(ISNUMBER(SEARCH("Dinner",$C476)),$D476="Asian"),RAND(),"")</f>
        <v/>
      </c>
      <c r="N476" s="27">
        <f>IF(AND(ISNUMBER(SEARCH("Dinner",$C476)),$D476="Chinese"),RAND(),"")</f>
        <v/>
      </c>
      <c r="O476" s="27">
        <f>IF(AND(ISNUMBER(SEARCH("Dinner",$C476)),$D476="Western"),RAND(),"")</f>
        <v/>
      </c>
    </row>
    <row r="477" ht="15.75" customHeight="1" s="36">
      <c r="A477" s="22" t="inlineStr">
        <is>
          <t>Vege Dish 4</t>
        </is>
      </c>
      <c r="B477" s="22" t="inlineStr">
        <is>
          <t>Seaweed, Carrot, Cucumber, Onion, Green onion, Chilli, Cilantro, Ginger, Lime</t>
        </is>
      </c>
      <c r="C477" s="21" t="inlineStr">
        <is>
          <t>Dinner</t>
        </is>
      </c>
      <c r="D477" s="33" t="inlineStr">
        <is>
          <t>Asian</t>
        </is>
      </c>
      <c r="E477" s="21" t="inlineStr">
        <is>
          <t>Low</t>
        </is>
      </c>
      <c r="F477" s="22" t="n"/>
      <c r="G477" s="28">
        <f>IF(AND(ISNUMBER(SEARCH("Breakfast",$C477)),$D477="Asian"),RAND(),"")</f>
        <v/>
      </c>
      <c r="H477" s="28">
        <f>IF(AND(ISNUMBER(SEARCH("Breakfast",$C477)),$D477="Chinese"),RAND(),"")</f>
        <v/>
      </c>
      <c r="I477" s="28">
        <f>IF(AND(ISNUMBER(SEARCH("Breakfast",$C477)),$D477="Western"),RAND(),"")</f>
        <v/>
      </c>
      <c r="J477" s="28">
        <f>IF(AND(ISNUMBER(SEARCH("Lunch",$C477)),$D477="Asian"),RAND(),"")</f>
        <v/>
      </c>
      <c r="K477" s="28">
        <f>IF(AND(ISNUMBER(SEARCH("Lunch",$C477)),$D477="Chinese"),RAND(),"")</f>
        <v/>
      </c>
      <c r="L477" s="28">
        <f>IF(AND(ISNUMBER(SEARCH("Lunch",$C477)),$D477="Western"),RAND(),"")</f>
        <v/>
      </c>
      <c r="M477" s="28">
        <f>IF(AND(ISNUMBER(SEARCH("Dinner",$C477)),$D477="Asian"),RAND(),"")</f>
        <v/>
      </c>
      <c r="N477" s="28">
        <f>IF(AND(ISNUMBER(SEARCH("Dinner",$C477)),$D477="Chinese"),RAND(),"")</f>
        <v/>
      </c>
      <c r="O477" s="28">
        <f>IF(AND(ISNUMBER(SEARCH("Dinner",$C477)),$D477="Western"),RAND(),"")</f>
        <v/>
      </c>
    </row>
    <row r="478" ht="15.75" customHeight="1" s="36">
      <c r="A478" s="18" t="inlineStr">
        <is>
          <t>Vege Dish 5</t>
        </is>
      </c>
      <c r="B478" s="18" t="inlineStr">
        <is>
          <t>Green asparagus, Mayonaise, Maple Syrup, Lemons, Almonds, Basil</t>
        </is>
      </c>
      <c r="C478" s="17" t="inlineStr">
        <is>
          <t>Dinner</t>
        </is>
      </c>
      <c r="D478" s="33" t="inlineStr">
        <is>
          <t>Western</t>
        </is>
      </c>
      <c r="E478" s="17" t="inlineStr">
        <is>
          <t>Low</t>
        </is>
      </c>
      <c r="F478" s="18" t="n"/>
      <c r="G478" s="27">
        <f>IF(AND(ISNUMBER(SEARCH("Breakfast",$C478)),$D478="Asian"),RAND(),"")</f>
        <v/>
      </c>
      <c r="H478" s="27">
        <f>IF(AND(ISNUMBER(SEARCH("Breakfast",$C478)),$D478="Chinese"),RAND(),"")</f>
        <v/>
      </c>
      <c r="I478" s="27">
        <f>IF(AND(ISNUMBER(SEARCH("Breakfast",$C478)),$D478="Western"),RAND(),"")</f>
        <v/>
      </c>
      <c r="J478" s="27">
        <f>IF(AND(ISNUMBER(SEARCH("Lunch",$C478)),$D478="Asian"),RAND(),"")</f>
        <v/>
      </c>
      <c r="K478" s="27">
        <f>IF(AND(ISNUMBER(SEARCH("Lunch",$C478)),$D478="Chinese"),RAND(),"")</f>
        <v/>
      </c>
      <c r="L478" s="27">
        <f>IF(AND(ISNUMBER(SEARCH("Lunch",$C478)),$D478="Western"),RAND(),"")</f>
        <v/>
      </c>
      <c r="M478" s="27">
        <f>IF(AND(ISNUMBER(SEARCH("Dinner",$C478)),$D478="Asian"),RAND(),"")</f>
        <v/>
      </c>
      <c r="N478" s="27">
        <f>IF(AND(ISNUMBER(SEARCH("Dinner",$C478)),$D478="Chinese"),RAND(),"")</f>
        <v/>
      </c>
      <c r="O478" s="27">
        <f>IF(AND(ISNUMBER(SEARCH("Dinner",$C478)),$D478="Western"),RAND(),"")</f>
        <v/>
      </c>
    </row>
    <row r="479" ht="15.75" customHeight="1" s="36">
      <c r="A479" s="22" t="inlineStr">
        <is>
          <t>Vege Roll</t>
        </is>
      </c>
      <c r="B479" s="22" t="inlineStr">
        <is>
          <t>Vietnam Rice Paper, Lettuce, Radish, Carrot, Red Onion, Cucumber, Vege Ham, Mirin, Soya Sauce, Lemon</t>
        </is>
      </c>
      <c r="C479" s="21" t="inlineStr">
        <is>
          <t>Lunch</t>
        </is>
      </c>
      <c r="D479" s="29" t="inlineStr">
        <is>
          <t>Asian</t>
        </is>
      </c>
      <c r="E479" s="21" t="inlineStr">
        <is>
          <t>High</t>
        </is>
      </c>
      <c r="F479" s="23" t="inlineStr">
        <is>
          <t>https://icook.tw/recipes/386670?utm_source=copy&amp;utm_medium=sharev3&amp;utm_campaign=recipe-share</t>
        </is>
      </c>
      <c r="G479" s="28">
        <f>IF(AND(ISNUMBER(SEARCH("Breakfast",$C479)),$D479="Asian"),RAND(),"")</f>
        <v/>
      </c>
      <c r="H479" s="28">
        <f>IF(AND(ISNUMBER(SEARCH("Breakfast",$C479)),$D479="Chinese"),RAND(),"")</f>
        <v/>
      </c>
      <c r="I479" s="28">
        <f>IF(AND(ISNUMBER(SEARCH("Breakfast",$C479)),$D479="Western"),RAND(),"")</f>
        <v/>
      </c>
      <c r="J479" s="28">
        <f>IF(AND(ISNUMBER(SEARCH("Lunch",$C479)),$D479="Asian"),RAND(),"")</f>
        <v/>
      </c>
      <c r="K479" s="28">
        <f>IF(AND(ISNUMBER(SEARCH("Lunch",$C479)),$D479="Chinese"),RAND(),"")</f>
        <v/>
      </c>
      <c r="L479" s="28">
        <f>IF(AND(ISNUMBER(SEARCH("Lunch",$C479)),$D479="Western"),RAND(),"")</f>
        <v/>
      </c>
      <c r="M479" s="28">
        <f>IF(AND(ISNUMBER(SEARCH("Dinner",$C479)),$D479="Asian"),RAND(),"")</f>
        <v/>
      </c>
      <c r="N479" s="28">
        <f>IF(AND(ISNUMBER(SEARCH("Dinner",$C479)),$D479="Chinese"),RAND(),"")</f>
        <v/>
      </c>
      <c r="O479" s="28">
        <f>IF(AND(ISNUMBER(SEARCH("Dinner",$C479)),$D479="Western"),RAND(),"")</f>
        <v/>
      </c>
    </row>
    <row r="480" ht="15.75" customHeight="1" s="36">
      <c r="A480" s="18" t="inlineStr">
        <is>
          <t>Vege Soup</t>
        </is>
      </c>
      <c r="B480" s="18" t="inlineStr">
        <is>
          <t>Pi Dan, All purpose flour, Spinach, Ikan Bilis, Garlic, Chicken Broth</t>
        </is>
      </c>
      <c r="C480" s="17" t="inlineStr">
        <is>
          <t>Dinner</t>
        </is>
      </c>
      <c r="D480" s="33" t="inlineStr">
        <is>
          <t>Chinese</t>
        </is>
      </c>
      <c r="E480" s="17" t="inlineStr">
        <is>
          <t>Low</t>
        </is>
      </c>
      <c r="F480" s="19" t="inlineStr">
        <is>
          <t>https://icook.tw/recipes/181929?utm_source=other&amp;utm_medium=sharev3&amp;utm_campaign=recipe-share</t>
        </is>
      </c>
      <c r="G480" s="27">
        <f>IF(AND(ISNUMBER(SEARCH("Breakfast",$C480)),$D480="Asian"),RAND(),"")</f>
        <v/>
      </c>
      <c r="H480" s="27">
        <f>IF(AND(ISNUMBER(SEARCH("Breakfast",$C480)),$D480="Chinese"),RAND(),"")</f>
        <v/>
      </c>
      <c r="I480" s="27">
        <f>IF(AND(ISNUMBER(SEARCH("Breakfast",$C480)),$D480="Western"),RAND(),"")</f>
        <v/>
      </c>
      <c r="J480" s="27">
        <f>IF(AND(ISNUMBER(SEARCH("Lunch",$C480)),$D480="Asian"),RAND(),"")</f>
        <v/>
      </c>
      <c r="K480" s="27">
        <f>IF(AND(ISNUMBER(SEARCH("Lunch",$C480)),$D480="Chinese"),RAND(),"")</f>
        <v/>
      </c>
      <c r="L480" s="27">
        <f>IF(AND(ISNUMBER(SEARCH("Lunch",$C480)),$D480="Western"),RAND(),"")</f>
        <v/>
      </c>
      <c r="M480" s="27">
        <f>IF(AND(ISNUMBER(SEARCH("Dinner",$C480)),$D480="Asian"),RAND(),"")</f>
        <v/>
      </c>
      <c r="N480" s="27">
        <f>IF(AND(ISNUMBER(SEARCH("Dinner",$C480)),$D480="Chinese"),RAND(),"")</f>
        <v/>
      </c>
      <c r="O480" s="27">
        <f>IF(AND(ISNUMBER(SEARCH("Dinner",$C480)),$D480="Western"),RAND(),"")</f>
        <v/>
      </c>
      <c r="P480" s="0" t="b">
        <v>1</v>
      </c>
    </row>
    <row r="481" ht="15.75" customHeight="1" s="36">
      <c r="A481" s="22" t="inlineStr">
        <is>
          <t>Vegetable + Tofu</t>
        </is>
      </c>
      <c r="B481" s="22" t="inlineStr">
        <is>
          <t>Tofu, Can Corn, Celery, Lettuce</t>
        </is>
      </c>
      <c r="C481" s="21" t="inlineStr">
        <is>
          <t>Dinner</t>
        </is>
      </c>
      <c r="D481" s="26" t="inlineStr">
        <is>
          <t>Chinese</t>
        </is>
      </c>
      <c r="E481" s="21" t="inlineStr">
        <is>
          <t>Med</t>
        </is>
      </c>
      <c r="F481" s="23" t="inlineStr">
        <is>
          <t>https://icook.tw/recipes/383599?utm_source=copy&amp;utm_medium=sharev3&amp;utm_campaign=recipe-share</t>
        </is>
      </c>
      <c r="G481" s="28">
        <f>IF(AND(ISNUMBER(SEARCH("Breakfast",$C481)),$D481="Asian"),RAND(),"")</f>
        <v/>
      </c>
      <c r="H481" s="28">
        <f>IF(AND(ISNUMBER(SEARCH("Breakfast",$C481)),$D481="Chinese"),RAND(),"")</f>
        <v/>
      </c>
      <c r="I481" s="28">
        <f>IF(AND(ISNUMBER(SEARCH("Breakfast",$C481)),$D481="Western"),RAND(),"")</f>
        <v/>
      </c>
      <c r="J481" s="28">
        <f>IF(AND(ISNUMBER(SEARCH("Lunch",$C481)),$D481="Asian"),RAND(),"")</f>
        <v/>
      </c>
      <c r="K481" s="28">
        <f>IF(AND(ISNUMBER(SEARCH("Lunch",$C481)),$D481="Chinese"),RAND(),"")</f>
        <v/>
      </c>
      <c r="L481" s="28">
        <f>IF(AND(ISNUMBER(SEARCH("Lunch",$C481)),$D481="Western"),RAND(),"")</f>
        <v/>
      </c>
      <c r="M481" s="28">
        <f>IF(AND(ISNUMBER(SEARCH("Dinner",$C481)),$D481="Asian"),RAND(),"")</f>
        <v/>
      </c>
      <c r="N481" s="28">
        <f>IF(AND(ISNUMBER(SEARCH("Dinner",$C481)),$D481="Chinese"),RAND(),"")</f>
        <v/>
      </c>
      <c r="O481" s="28">
        <f>IF(AND(ISNUMBER(SEARCH("Dinner",$C481)),$D481="Western"),RAND(),"")</f>
        <v/>
      </c>
    </row>
    <row r="482" ht="15.75" customHeight="1" s="36">
      <c r="A482" s="18" t="inlineStr">
        <is>
          <t>Vegetable Rolls</t>
        </is>
      </c>
      <c r="B482" s="18" t="inlineStr">
        <is>
          <t>Avocado, Mango, Cucumber, Kale</t>
        </is>
      </c>
      <c r="C482" s="17" t="inlineStr">
        <is>
          <t>Dinner</t>
        </is>
      </c>
      <c r="D482" s="33" t="inlineStr">
        <is>
          <t>Asian</t>
        </is>
      </c>
      <c r="E482" s="17" t="inlineStr">
        <is>
          <t>Low</t>
        </is>
      </c>
      <c r="F482" s="19" t="inlineStr">
        <is>
          <t>https://www.instagram.com/p/COczeJCgmOS/?igshid=YmMyMTA2M2Y=</t>
        </is>
      </c>
      <c r="G482" s="27">
        <f>IF(AND(ISNUMBER(SEARCH("Breakfast",$C482)),$D482="Asian"),RAND(),"")</f>
        <v/>
      </c>
      <c r="H482" s="27">
        <f>IF(AND(ISNUMBER(SEARCH("Breakfast",$C482)),$D482="Chinese"),RAND(),"")</f>
        <v/>
      </c>
      <c r="I482" s="27">
        <f>IF(AND(ISNUMBER(SEARCH("Breakfast",$C482)),$D482="Western"),RAND(),"")</f>
        <v/>
      </c>
      <c r="J482" s="27">
        <f>IF(AND(ISNUMBER(SEARCH("Lunch",$C482)),$D482="Asian"),RAND(),"")</f>
        <v/>
      </c>
      <c r="K482" s="27">
        <f>IF(AND(ISNUMBER(SEARCH("Lunch",$C482)),$D482="Chinese"),RAND(),"")</f>
        <v/>
      </c>
      <c r="L482" s="27">
        <f>IF(AND(ISNUMBER(SEARCH("Lunch",$C482)),$D482="Western"),RAND(),"")</f>
        <v/>
      </c>
      <c r="M482" s="27">
        <f>IF(AND(ISNUMBER(SEARCH("Dinner",$C482)),$D482="Asian"),RAND(),"")</f>
        <v/>
      </c>
      <c r="N482" s="27">
        <f>IF(AND(ISNUMBER(SEARCH("Dinner",$C482)),$D482="Chinese"),RAND(),"")</f>
        <v/>
      </c>
      <c r="O482" s="27">
        <f>IF(AND(ISNUMBER(SEARCH("Dinner",$C482)),$D482="Western"),RAND(),"")</f>
        <v/>
      </c>
    </row>
    <row r="483" ht="15.75" customHeight="1" s="36">
      <c r="A483" s="22" t="inlineStr">
        <is>
          <t>Veggie Burrito Bowl</t>
        </is>
      </c>
      <c r="B483" s="22" t="inlineStr">
        <is>
          <t>Canned Black Beans, Bay Leaf, Red Onion, Garlic, cumin, paprika, Avocado, limes, canned sweet corn, tomato, red bell pepper, cilantro, tortilla chips, Rice</t>
        </is>
      </c>
      <c r="C483" s="21" t="inlineStr">
        <is>
          <t>Lunch</t>
        </is>
      </c>
      <c r="D483" s="30" t="inlineStr">
        <is>
          <t>Western</t>
        </is>
      </c>
      <c r="E483" s="21" t="inlineStr">
        <is>
          <t>Low</t>
        </is>
      </c>
      <c r="F483" s="23" t="inlineStr">
        <is>
          <t>https://www.kitchenstories.com/en/recipes/veggie-burrito-bowl</t>
        </is>
      </c>
      <c r="G483" s="28">
        <f>IF(AND(ISNUMBER(SEARCH("Breakfast",$C483)),$D483="Asian"),RAND(),"")</f>
        <v/>
      </c>
      <c r="H483" s="28">
        <f>IF(AND(ISNUMBER(SEARCH("Breakfast",$C483)),$D483="Chinese"),RAND(),"")</f>
        <v/>
      </c>
      <c r="I483" s="28">
        <f>IF(AND(ISNUMBER(SEARCH("Breakfast",$C483)),$D483="Western"),RAND(),"")</f>
        <v/>
      </c>
      <c r="J483" s="28">
        <f>IF(AND(ISNUMBER(SEARCH("Lunch",$C483)),$D483="Asian"),RAND(),"")</f>
        <v/>
      </c>
      <c r="K483" s="28">
        <f>IF(AND(ISNUMBER(SEARCH("Lunch",$C483)),$D483="Chinese"),RAND(),"")</f>
        <v/>
      </c>
      <c r="L483" s="28">
        <f>IF(AND(ISNUMBER(SEARCH("Lunch",$C483)),$D483="Western"),RAND(),"")</f>
        <v/>
      </c>
      <c r="M483" s="28">
        <f>IF(AND(ISNUMBER(SEARCH("Dinner",$C483)),$D483="Asian"),RAND(),"")</f>
        <v/>
      </c>
      <c r="N483" s="28">
        <f>IF(AND(ISNUMBER(SEARCH("Dinner",$C483)),$D483="Chinese"),RAND(),"")</f>
        <v/>
      </c>
      <c r="O483" s="28">
        <f>IF(AND(ISNUMBER(SEARCH("Dinner",$C483)),$D483="Western"),RAND(),"")</f>
        <v/>
      </c>
    </row>
    <row r="484" ht="15.75" customHeight="1" s="36">
      <c r="A484" s="18" t="inlineStr">
        <is>
          <t>Vietnamese Pork</t>
        </is>
      </c>
      <c r="B484" s="18" t="inlineStr">
        <is>
          <t>Lemongrass, Non spicy chilli, Onion, Garlic, Ground Pork, Brown Sugar, Fish Sauce, Dark Soya Sauce</t>
        </is>
      </c>
      <c r="C484" s="17" t="inlineStr">
        <is>
          <t>Dinner</t>
        </is>
      </c>
      <c r="D484" s="29" t="inlineStr">
        <is>
          <t>Asian</t>
        </is>
      </c>
      <c r="E484" s="17" t="inlineStr">
        <is>
          <t>High</t>
        </is>
      </c>
      <c r="F484" s="19" t="inlineStr">
        <is>
          <t>https://youtu.be/DcNfFV3ZfU4</t>
        </is>
      </c>
      <c r="G484" s="27">
        <f>IF(AND(ISNUMBER(SEARCH("Breakfast",$C484)),$D484="Asian"),RAND(),"")</f>
        <v/>
      </c>
      <c r="H484" s="27">
        <f>IF(AND(ISNUMBER(SEARCH("Breakfast",$C484)),$D484="Chinese"),RAND(),"")</f>
        <v/>
      </c>
      <c r="I484" s="27">
        <f>IF(AND(ISNUMBER(SEARCH("Breakfast",$C484)),$D484="Western"),RAND(),"")</f>
        <v/>
      </c>
      <c r="J484" s="27">
        <f>IF(AND(ISNUMBER(SEARCH("Lunch",$C484)),$D484="Asian"),RAND(),"")</f>
        <v/>
      </c>
      <c r="K484" s="27">
        <f>IF(AND(ISNUMBER(SEARCH("Lunch",$C484)),$D484="Chinese"),RAND(),"")</f>
        <v/>
      </c>
      <c r="L484" s="27">
        <f>IF(AND(ISNUMBER(SEARCH("Lunch",$C484)),$D484="Western"),RAND(),"")</f>
        <v/>
      </c>
      <c r="M484" s="27">
        <f>IF(AND(ISNUMBER(SEARCH("Dinner",$C484)),$D484="Asian"),RAND(),"")</f>
        <v/>
      </c>
      <c r="N484" s="27">
        <f>IF(AND(ISNUMBER(SEARCH("Dinner",$C484)),$D484="Chinese"),RAND(),"")</f>
        <v/>
      </c>
      <c r="O484" s="27">
        <f>IF(AND(ISNUMBER(SEARCH("Dinner",$C484)),$D484="Western"),RAND(),"")</f>
        <v/>
      </c>
    </row>
    <row r="485" ht="15.75" customHeight="1" s="36">
      <c r="A485" s="22" t="inlineStr">
        <is>
          <t>Vinegar Pig Trotters</t>
        </is>
      </c>
      <c r="B485" s="22" t="inlineStr">
        <is>
          <t>—</t>
        </is>
      </c>
      <c r="C485" s="21" t="inlineStr">
        <is>
          <t>Dinner</t>
        </is>
      </c>
      <c r="D485" s="33" t="inlineStr">
        <is>
          <t>Chinese</t>
        </is>
      </c>
      <c r="E485" s="21" t="inlineStr">
        <is>
          <t>Low</t>
        </is>
      </c>
      <c r="F485" s="22" t="n"/>
      <c r="G485" s="28">
        <f>IF(AND(ISNUMBER(SEARCH("Breakfast",$C485)),$D485="Asian"),RAND(),"")</f>
        <v/>
      </c>
      <c r="H485" s="28">
        <f>IF(AND(ISNUMBER(SEARCH("Breakfast",$C485)),$D485="Chinese"),RAND(),"")</f>
        <v/>
      </c>
      <c r="I485" s="28">
        <f>IF(AND(ISNUMBER(SEARCH("Breakfast",$C485)),$D485="Western"),RAND(),"")</f>
        <v/>
      </c>
      <c r="J485" s="28">
        <f>IF(AND(ISNUMBER(SEARCH("Lunch",$C485)),$D485="Asian"),RAND(),"")</f>
        <v/>
      </c>
      <c r="K485" s="28">
        <f>IF(AND(ISNUMBER(SEARCH("Lunch",$C485)),$D485="Chinese"),RAND(),"")</f>
        <v/>
      </c>
      <c r="L485" s="28">
        <f>IF(AND(ISNUMBER(SEARCH("Lunch",$C485)),$D485="Western"),RAND(),"")</f>
        <v/>
      </c>
      <c r="M485" s="28">
        <f>IF(AND(ISNUMBER(SEARCH("Dinner",$C485)),$D485="Asian"),RAND(),"")</f>
        <v/>
      </c>
      <c r="N485" s="28">
        <f>IF(AND(ISNUMBER(SEARCH("Dinner",$C485)),$D485="Chinese"),RAND(),"")</f>
        <v/>
      </c>
      <c r="O485" s="28">
        <f>IF(AND(ISNUMBER(SEARCH("Dinner",$C485)),$D485="Western"),RAND(),"")</f>
        <v/>
      </c>
    </row>
    <row r="486" ht="15.75" customHeight="1" s="36">
      <c r="A486" s="18" t="inlineStr">
        <is>
          <t>Wanton Mee</t>
        </is>
      </c>
      <c r="B486" s="18" t="inlineStr">
        <is>
          <t>Choy Sum, Green Onion, Soy Sauce, Sesame Oil, Garlic, Sugar, White Pepper</t>
        </is>
      </c>
      <c r="C486" s="17" t="inlineStr">
        <is>
          <t>Lunch</t>
        </is>
      </c>
      <c r="D486" s="26" t="inlineStr">
        <is>
          <t>Chinese</t>
        </is>
      </c>
      <c r="E486" s="17" t="inlineStr">
        <is>
          <t>Med</t>
        </is>
      </c>
      <c r="F486" s="19" t="inlineStr">
        <is>
          <t>https://www.instagram.com/reel/C-P98MKtIxV/?igsh=Nnl0d3d4NnM1N2o3</t>
        </is>
      </c>
      <c r="G486" s="27">
        <f>IF(AND(ISNUMBER(SEARCH("Breakfast",$C486)),$D486="Asian"),RAND(),"")</f>
        <v/>
      </c>
      <c r="H486" s="27">
        <f>IF(AND(ISNUMBER(SEARCH("Breakfast",$C486)),$D486="Chinese"),RAND(),"")</f>
        <v/>
      </c>
      <c r="I486" s="27">
        <f>IF(AND(ISNUMBER(SEARCH("Breakfast",$C486)),$D486="Western"),RAND(),"")</f>
        <v/>
      </c>
      <c r="J486" s="27">
        <f>IF(AND(ISNUMBER(SEARCH("Lunch",$C486)),$D486="Asian"),RAND(),"")</f>
        <v/>
      </c>
      <c r="K486" s="27">
        <f>IF(AND(ISNUMBER(SEARCH("Lunch",$C486)),$D486="Chinese"),RAND(),"")</f>
        <v/>
      </c>
      <c r="L486" s="27">
        <f>IF(AND(ISNUMBER(SEARCH("Lunch",$C486)),$D486="Western"),RAND(),"")</f>
        <v/>
      </c>
      <c r="M486" s="27">
        <f>IF(AND(ISNUMBER(SEARCH("Dinner",$C486)),$D486="Asian"),RAND(),"")</f>
        <v/>
      </c>
      <c r="N486" s="27">
        <f>IF(AND(ISNUMBER(SEARCH("Dinner",$C486)),$D486="Chinese"),RAND(),"")</f>
        <v/>
      </c>
      <c r="O486" s="27">
        <f>IF(AND(ISNUMBER(SEARCH("Dinner",$C486)),$D486="Western"),RAND(),"")</f>
        <v/>
      </c>
    </row>
    <row r="487" ht="15.75" customHeight="1" s="36">
      <c r="A487" s="22" t="inlineStr">
        <is>
          <t>Wanton Noodles</t>
        </is>
      </c>
      <c r="B487" s="22" t="inlineStr">
        <is>
          <t>Spring Onion, Soy Sauce, Dark Soy Sauce, Sesame Oil, Garlic, White Pepper, Sugar, Noodles</t>
        </is>
      </c>
      <c r="C487" s="21" t="inlineStr">
        <is>
          <t>Lunch</t>
        </is>
      </c>
      <c r="D487" s="33" t="inlineStr">
        <is>
          <t>Chinese</t>
        </is>
      </c>
      <c r="E487" s="21" t="inlineStr">
        <is>
          <t>Low</t>
        </is>
      </c>
      <c r="F487" s="23" t="inlineStr">
        <is>
          <t>https://www.instagram.com/reel/C-P98MKtIxV/?igsh=Nnl0d3d4NnM1N2o3</t>
        </is>
      </c>
      <c r="G487" s="28">
        <f>IF(AND(ISNUMBER(SEARCH("Breakfast",$C487)),$D487="Asian"),RAND(),"")</f>
        <v/>
      </c>
      <c r="H487" s="28">
        <f>IF(AND(ISNUMBER(SEARCH("Breakfast",$C487)),$D487="Chinese"),RAND(),"")</f>
        <v/>
      </c>
      <c r="I487" s="28">
        <f>IF(AND(ISNUMBER(SEARCH("Breakfast",$C487)),$D487="Western"),RAND(),"")</f>
        <v/>
      </c>
      <c r="J487" s="28">
        <f>IF(AND(ISNUMBER(SEARCH("Lunch",$C487)),$D487="Asian"),RAND(),"")</f>
        <v/>
      </c>
      <c r="K487" s="28">
        <f>IF(AND(ISNUMBER(SEARCH("Lunch",$C487)),$D487="Chinese"),RAND(),"")</f>
        <v/>
      </c>
      <c r="L487" s="28">
        <f>IF(AND(ISNUMBER(SEARCH("Lunch",$C487)),$D487="Western"),RAND(),"")</f>
        <v/>
      </c>
      <c r="M487" s="28">
        <f>IF(AND(ISNUMBER(SEARCH("Dinner",$C487)),$D487="Asian"),RAND(),"")</f>
        <v/>
      </c>
      <c r="N487" s="28">
        <f>IF(AND(ISNUMBER(SEARCH("Dinner",$C487)),$D487="Chinese"),RAND(),"")</f>
        <v/>
      </c>
      <c r="O487" s="28">
        <f>IF(AND(ISNUMBER(SEARCH("Dinner",$C487)),$D487="Western"),RAND(),"")</f>
        <v/>
      </c>
    </row>
    <row r="488" ht="15.75" customHeight="1" s="36">
      <c r="A488" s="18" t="inlineStr">
        <is>
          <t>Weiliang Recipe</t>
        </is>
      </c>
      <c r="B488" s="18" t="inlineStr">
        <is>
          <t>Pork Belly, Salt, Tomato Paste, Sugar, Apple Cider Vinegar, Paprika, Mustard Powder, Ground Cumin, Garlic Powder, Onion Powder, Beans</t>
        </is>
      </c>
      <c r="C488" s="17" t="inlineStr">
        <is>
          <t>Dinner</t>
        </is>
      </c>
      <c r="D488" s="33" t="inlineStr">
        <is>
          <t>Western</t>
        </is>
      </c>
      <c r="E488" s="17" t="inlineStr">
        <is>
          <t>Low</t>
        </is>
      </c>
      <c r="F488" s="18" t="n"/>
      <c r="G488" s="27">
        <f>IF(AND(ISNUMBER(SEARCH("Breakfast",$C488)),$D488="Asian"),RAND(),"")</f>
        <v/>
      </c>
      <c r="H488" s="27">
        <f>IF(AND(ISNUMBER(SEARCH("Breakfast",$C488)),$D488="Chinese"),RAND(),"")</f>
        <v/>
      </c>
      <c r="I488" s="27">
        <f>IF(AND(ISNUMBER(SEARCH("Breakfast",$C488)),$D488="Western"),RAND(),"")</f>
        <v/>
      </c>
      <c r="J488" s="27">
        <f>IF(AND(ISNUMBER(SEARCH("Lunch",$C488)),$D488="Asian"),RAND(),"")</f>
        <v/>
      </c>
      <c r="K488" s="27">
        <f>IF(AND(ISNUMBER(SEARCH("Lunch",$C488)),$D488="Chinese"),RAND(),"")</f>
        <v/>
      </c>
      <c r="L488" s="27">
        <f>IF(AND(ISNUMBER(SEARCH("Lunch",$C488)),$D488="Western"),RAND(),"")</f>
        <v/>
      </c>
      <c r="M488" s="27">
        <f>IF(AND(ISNUMBER(SEARCH("Dinner",$C488)),$D488="Asian"),RAND(),"")</f>
        <v/>
      </c>
      <c r="N488" s="27">
        <f>IF(AND(ISNUMBER(SEARCH("Dinner",$C488)),$D488="Chinese"),RAND(),"")</f>
        <v/>
      </c>
      <c r="O488" s="27">
        <f>IF(AND(ISNUMBER(SEARCH("Dinner",$C488)),$D488="Western"),RAND(),"")</f>
        <v/>
      </c>
    </row>
    <row r="489" ht="15.75" customHeight="1" s="36">
      <c r="A489" s="22" t="inlineStr">
        <is>
          <t>White Bean Salad</t>
        </is>
      </c>
      <c r="B489" s="22" t="inlineStr">
        <is>
          <t>Chickpea, Cucumber, tomato, Parsley, Mint Leaves, Lemon, spring onion</t>
        </is>
      </c>
      <c r="C489" s="21" t="inlineStr">
        <is>
          <t>Lunch</t>
        </is>
      </c>
      <c r="D489" s="30" t="inlineStr">
        <is>
          <t>Western</t>
        </is>
      </c>
      <c r="E489" s="21" t="inlineStr">
        <is>
          <t>Med</t>
        </is>
      </c>
      <c r="F489" s="23" t="inlineStr">
        <is>
          <t>https://www.youtube.com/watch?v=bl17M-aMNuo&amp;si=GtIOgfdR2sfYMdqA</t>
        </is>
      </c>
      <c r="G489" s="28">
        <f>IF(AND(ISNUMBER(SEARCH("Breakfast",$C489)),$D489="Asian"),RAND(),"")</f>
        <v/>
      </c>
      <c r="H489" s="28">
        <f>IF(AND(ISNUMBER(SEARCH("Breakfast",$C489)),$D489="Chinese"),RAND(),"")</f>
        <v/>
      </c>
      <c r="I489" s="28">
        <f>IF(AND(ISNUMBER(SEARCH("Breakfast",$C489)),$D489="Western"),RAND(),"")</f>
        <v/>
      </c>
      <c r="J489" s="28">
        <f>IF(AND(ISNUMBER(SEARCH("Lunch",$C489)),$D489="Asian"),RAND(),"")</f>
        <v/>
      </c>
      <c r="K489" s="28">
        <f>IF(AND(ISNUMBER(SEARCH("Lunch",$C489)),$D489="Chinese"),RAND(),"")</f>
        <v/>
      </c>
      <c r="L489" s="28">
        <f>IF(AND(ISNUMBER(SEARCH("Lunch",$C489)),$D489="Western"),RAND(),"")</f>
        <v/>
      </c>
      <c r="M489" s="28">
        <f>IF(AND(ISNUMBER(SEARCH("Dinner",$C489)),$D489="Asian"),RAND(),"")</f>
        <v/>
      </c>
      <c r="N489" s="28">
        <f>IF(AND(ISNUMBER(SEARCH("Dinner",$C489)),$D489="Chinese"),RAND(),"")</f>
        <v/>
      </c>
      <c r="O489" s="28">
        <f>IF(AND(ISNUMBER(SEARCH("Dinner",$C489)),$D489="Western"),RAND(),"")</f>
        <v/>
      </c>
    </row>
    <row r="490" ht="15.75" customHeight="1" s="36">
      <c r="A490" s="18" t="inlineStr">
        <is>
          <t>White Mushroom</t>
        </is>
      </c>
      <c r="B490" s="18" t="inlineStr">
        <is>
          <t>Scallops, Butter, Flour, Milk, White wine, Oats</t>
        </is>
      </c>
      <c r="C490" s="17" t="inlineStr">
        <is>
          <t>Lunch</t>
        </is>
      </c>
      <c r="D490" s="33" t="inlineStr">
        <is>
          <t>Western</t>
        </is>
      </c>
      <c r="E490" s="17" t="inlineStr">
        <is>
          <t>Low</t>
        </is>
      </c>
      <c r="F490" s="19" t="inlineStr">
        <is>
          <t>https://www.instagram.com/reel/C_IeJkSyxsp/?igsh=dmR1aHV0ZGdpeG16</t>
        </is>
      </c>
      <c r="G490" s="27">
        <f>IF(AND(ISNUMBER(SEARCH("Breakfast",$C490)),$D490="Asian"),RAND(),"")</f>
        <v/>
      </c>
      <c r="H490" s="27">
        <f>IF(AND(ISNUMBER(SEARCH("Breakfast",$C490)),$D490="Chinese"),RAND(),"")</f>
        <v/>
      </c>
      <c r="I490" s="27">
        <f>IF(AND(ISNUMBER(SEARCH("Breakfast",$C490)),$D490="Western"),RAND(),"")</f>
        <v/>
      </c>
      <c r="J490" s="27">
        <f>IF(AND(ISNUMBER(SEARCH("Lunch",$C490)),$D490="Asian"),RAND(),"")</f>
        <v/>
      </c>
      <c r="K490" s="27">
        <f>IF(AND(ISNUMBER(SEARCH("Lunch",$C490)),$D490="Chinese"),RAND(),"")</f>
        <v/>
      </c>
      <c r="L490" s="27">
        <f>IF(AND(ISNUMBER(SEARCH("Lunch",$C490)),$D490="Western"),RAND(),"")</f>
        <v/>
      </c>
      <c r="M490" s="27">
        <f>IF(AND(ISNUMBER(SEARCH("Dinner",$C490)),$D490="Asian"),RAND(),"")</f>
        <v/>
      </c>
      <c r="N490" s="27">
        <f>IF(AND(ISNUMBER(SEARCH("Dinner",$C490)),$D490="Chinese"),RAND(),"")</f>
        <v/>
      </c>
      <c r="O490" s="27">
        <f>IF(AND(ISNUMBER(SEARCH("Dinner",$C490)),$D490="Western"),RAND(),"")</f>
        <v/>
      </c>
    </row>
    <row r="491" ht="15.75" customHeight="1" s="36">
      <c r="A491" s="22" t="inlineStr">
        <is>
          <t>White pepper corn</t>
        </is>
      </c>
      <c r="B491" s="22" t="inlineStr">
        <is>
          <t>Garlic, Dong gu, Clams, Chicken thighs, Ginger, Goji berry</t>
        </is>
      </c>
      <c r="C491" s="21" t="inlineStr">
        <is>
          <t>Dinner</t>
        </is>
      </c>
      <c r="D491" s="26" t="inlineStr">
        <is>
          <t>Chinese</t>
        </is>
      </c>
      <c r="E491" s="21" t="inlineStr">
        <is>
          <t>High</t>
        </is>
      </c>
      <c r="F491" s="23" t="inlineStr">
        <is>
          <t>https://youtu.be/BGrHgvAr5x4</t>
        </is>
      </c>
      <c r="G491" s="28">
        <f>IF(AND(ISNUMBER(SEARCH("Breakfast",$C491)),$D491="Asian"),RAND(),"")</f>
        <v/>
      </c>
      <c r="H491" s="28">
        <f>IF(AND(ISNUMBER(SEARCH("Breakfast",$C491)),$D491="Chinese"),RAND(),"")</f>
        <v/>
      </c>
      <c r="I491" s="28">
        <f>IF(AND(ISNUMBER(SEARCH("Breakfast",$C491)),$D491="Western"),RAND(),"")</f>
        <v/>
      </c>
      <c r="J491" s="28">
        <f>IF(AND(ISNUMBER(SEARCH("Lunch",$C491)),$D491="Asian"),RAND(),"")</f>
        <v/>
      </c>
      <c r="K491" s="28">
        <f>IF(AND(ISNUMBER(SEARCH("Lunch",$C491)),$D491="Chinese"),RAND(),"")</f>
        <v/>
      </c>
      <c r="L491" s="28">
        <f>IF(AND(ISNUMBER(SEARCH("Lunch",$C491)),$D491="Western"),RAND(),"")</f>
        <v/>
      </c>
      <c r="M491" s="28">
        <f>IF(AND(ISNUMBER(SEARCH("Dinner",$C491)),$D491="Asian"),RAND(),"")</f>
        <v/>
      </c>
      <c r="N491" s="28">
        <f>IF(AND(ISNUMBER(SEARCH("Dinner",$C491)),$D491="Chinese"),RAND(),"")</f>
        <v/>
      </c>
      <c r="O491" s="28">
        <f>IF(AND(ISNUMBER(SEARCH("Dinner",$C491)),$D491="Western"),RAND(),"")</f>
        <v/>
      </c>
    </row>
    <row r="492" ht="15.75" customHeight="1" s="36">
      <c r="A492" s="18" t="inlineStr">
        <is>
          <t>Winter Melon</t>
        </is>
      </c>
      <c r="B492" s="18" t="inlineStr">
        <is>
          <t>Bonito Flakes, Ginger, Soya sauce, goji berry, spring onion</t>
        </is>
      </c>
      <c r="C492" s="17" t="inlineStr">
        <is>
          <t>Dinner</t>
        </is>
      </c>
      <c r="D492" s="26" t="inlineStr">
        <is>
          <t>Chinese</t>
        </is>
      </c>
      <c r="E492" s="17" t="inlineStr">
        <is>
          <t>High</t>
        </is>
      </c>
      <c r="F492" s="19" t="inlineStr">
        <is>
          <t>https://icook.tw/recipes/376672?utm_source=copy&amp;utm_medium=sharev3&amp;utm_campaign=recipe-share</t>
        </is>
      </c>
      <c r="G492" s="27">
        <f>IF(AND(ISNUMBER(SEARCH("Breakfast",$C492)),$D492="Asian"),RAND(),"")</f>
        <v/>
      </c>
      <c r="H492" s="27">
        <f>IF(AND(ISNUMBER(SEARCH("Breakfast",$C492)),$D492="Chinese"),RAND(),"")</f>
        <v/>
      </c>
      <c r="I492" s="27">
        <f>IF(AND(ISNUMBER(SEARCH("Breakfast",$C492)),$D492="Western"),RAND(),"")</f>
        <v/>
      </c>
      <c r="J492" s="27">
        <f>IF(AND(ISNUMBER(SEARCH("Lunch",$C492)),$D492="Asian"),RAND(),"")</f>
        <v/>
      </c>
      <c r="K492" s="27">
        <f>IF(AND(ISNUMBER(SEARCH("Lunch",$C492)),$D492="Chinese"),RAND(),"")</f>
        <v/>
      </c>
      <c r="L492" s="27">
        <f>IF(AND(ISNUMBER(SEARCH("Lunch",$C492)),$D492="Western"),RAND(),"")</f>
        <v/>
      </c>
      <c r="M492" s="27">
        <f>IF(AND(ISNUMBER(SEARCH("Dinner",$C492)),$D492="Asian"),RAND(),"")</f>
        <v/>
      </c>
      <c r="N492" s="27">
        <f>IF(AND(ISNUMBER(SEARCH("Dinner",$C492)),$D492="Chinese"),RAND(),"")</f>
        <v/>
      </c>
      <c r="O492" s="27">
        <f>IF(AND(ISNUMBER(SEARCH("Dinner",$C492)),$D492="Western"),RAND(),"")</f>
        <v/>
      </c>
    </row>
    <row r="493" ht="15.75" customHeight="1" s="36">
      <c r="A493" s="22" t="inlineStr">
        <is>
          <t>XL Crispy Rice with Miso Mushrooms</t>
        </is>
      </c>
      <c r="B493" s="22" t="inlineStr">
        <is>
          <t>Assorted Mushroom, Olive oil, Rice vinegar, White sugar, Soy sauce, Spring onion, Yellow onion, Garlic, White rice, White wine, White miso, Chicken broth</t>
        </is>
      </c>
      <c r="C493" s="21" t="inlineStr">
        <is>
          <t>Dinner</t>
        </is>
      </c>
      <c r="D493" s="29" t="inlineStr">
        <is>
          <t>Asian</t>
        </is>
      </c>
      <c r="E493" s="21" t="inlineStr">
        <is>
          <t>Med</t>
        </is>
      </c>
      <c r="F493" s="23" t="inlineStr">
        <is>
          <t>https://www.provecho.bio/@groovyfoodiess/xl-crispy-rice-with-miso-mushrooms</t>
        </is>
      </c>
      <c r="G493" s="28">
        <f>IF(AND(ISNUMBER(SEARCH("Breakfast",$C493)),$D493="Asian"),RAND(),"")</f>
        <v/>
      </c>
      <c r="H493" s="28">
        <f>IF(AND(ISNUMBER(SEARCH("Breakfast",$C493)),$D493="Chinese"),RAND(),"")</f>
        <v/>
      </c>
      <c r="I493" s="28">
        <f>IF(AND(ISNUMBER(SEARCH("Breakfast",$C493)),$D493="Western"),RAND(),"")</f>
        <v/>
      </c>
      <c r="J493" s="28">
        <f>IF(AND(ISNUMBER(SEARCH("Lunch",$C493)),$D493="Asian"),RAND(),"")</f>
        <v/>
      </c>
      <c r="K493" s="28">
        <f>IF(AND(ISNUMBER(SEARCH("Lunch",$C493)),$D493="Chinese"),RAND(),"")</f>
        <v/>
      </c>
      <c r="L493" s="28">
        <f>IF(AND(ISNUMBER(SEARCH("Lunch",$C493)),$D493="Western"),RAND(),"")</f>
        <v/>
      </c>
      <c r="M493" s="28">
        <f>IF(AND(ISNUMBER(SEARCH("Dinner",$C493)),$D493="Asian"),RAND(),"")</f>
        <v/>
      </c>
      <c r="N493" s="28">
        <f>IF(AND(ISNUMBER(SEARCH("Dinner",$C493)),$D493="Chinese"),RAND(),"")</f>
        <v/>
      </c>
      <c r="O493" s="28">
        <f>IF(AND(ISNUMBER(SEARCH("Dinner",$C493)),$D493="Western"),RAND(),"")</f>
        <v/>
      </c>
    </row>
    <row r="494" ht="15.75" customHeight="1" s="36">
      <c r="A494" s="18" t="inlineStr">
        <is>
          <t>Yuzu Chicken Hotpot</t>
        </is>
      </c>
      <c r="B494" s="18" t="inlineStr">
        <is>
          <t>Chicken Thigh, Napa Cabbage, Shimeiji Mushroom, Leek, Konbu, Bonito Flakes, Sake, Soy Sauce, Yuzu Pepper</t>
        </is>
      </c>
      <c r="C494" s="17" t="inlineStr">
        <is>
          <t>Dinner</t>
        </is>
      </c>
      <c r="D494" s="29" t="inlineStr">
        <is>
          <t>Asian</t>
        </is>
      </c>
      <c r="E494" s="17" t="inlineStr">
        <is>
          <t>Med</t>
        </is>
      </c>
      <c r="F494" s="19" t="inlineStr">
        <is>
          <t>https://www.instagram.com/reel/DSKMUnYD07o/?igsh=MWhudHVldGk5YjBzZQ==</t>
        </is>
      </c>
      <c r="G494" s="27">
        <f>IF(AND(ISNUMBER(SEARCH("Breakfast",$C494)),$D494="Asian"),RAND(),"")</f>
        <v/>
      </c>
      <c r="H494" s="27">
        <f>IF(AND(ISNUMBER(SEARCH("Breakfast",$C494)),$D494="Chinese"),RAND(),"")</f>
        <v/>
      </c>
      <c r="I494" s="27">
        <f>IF(AND(ISNUMBER(SEARCH("Breakfast",$C494)),$D494="Western"),RAND(),"")</f>
        <v/>
      </c>
      <c r="J494" s="27">
        <f>IF(AND(ISNUMBER(SEARCH("Lunch",$C494)),$D494="Asian"),RAND(),"")</f>
        <v/>
      </c>
      <c r="K494" s="27">
        <f>IF(AND(ISNUMBER(SEARCH("Lunch",$C494)),$D494="Chinese"),RAND(),"")</f>
        <v/>
      </c>
      <c r="L494" s="27">
        <f>IF(AND(ISNUMBER(SEARCH("Lunch",$C494)),$D494="Western"),RAND(),"")</f>
        <v/>
      </c>
      <c r="M494" s="27">
        <f>IF(AND(ISNUMBER(SEARCH("Dinner",$C494)),$D494="Asian"),RAND(),"")</f>
        <v/>
      </c>
      <c r="N494" s="27">
        <f>IF(AND(ISNUMBER(SEARCH("Dinner",$C494)),$D494="Chinese"),RAND(),"")</f>
        <v/>
      </c>
      <c r="O494" s="27">
        <f>IF(AND(ISNUMBER(SEARCH("Dinner",$C494)),$D494="Western"),RAND(),"")</f>
        <v/>
      </c>
    </row>
    <row r="495" ht="15.75" customHeight="1" s="36">
      <c r="A495" s="22" t="inlineStr">
        <is>
          <t>zucchini</t>
        </is>
      </c>
      <c r="B495" s="22" t="inlineStr">
        <is>
          <t>Scallions, Maple Syrup, Olive Oil, Garlic, Hazelnuts, Bread Crumbs, Parsley, Lemon, Cheese, Dill, Spring Onion, Salt, Pepper</t>
        </is>
      </c>
      <c r="C495" s="21" t="inlineStr">
        <is>
          <t>Dinner</t>
        </is>
      </c>
      <c r="D495" s="33" t="inlineStr">
        <is>
          <t>Western</t>
        </is>
      </c>
      <c r="E495" s="21" t="inlineStr">
        <is>
          <t>Low</t>
        </is>
      </c>
      <c r="F495" s="23" t="inlineStr">
        <is>
          <t>https://www.kitchenstories.com/en/recipes/grilled-zucchini-and-scallions-with-hazelnut-gremolata-and-ricotta</t>
        </is>
      </c>
      <c r="G495" s="28">
        <f>IF(AND(ISNUMBER(SEARCH("Breakfast",$C495)),$D495="Asian"),RAND(),"")</f>
        <v/>
      </c>
      <c r="H495" s="28">
        <f>IF(AND(ISNUMBER(SEARCH("Breakfast",$C495)),$D495="Chinese"),RAND(),"")</f>
        <v/>
      </c>
      <c r="I495" s="28">
        <f>IF(AND(ISNUMBER(SEARCH("Breakfast",$C495)),$D495="Western"),RAND(),"")</f>
        <v/>
      </c>
      <c r="J495" s="28">
        <f>IF(AND(ISNUMBER(SEARCH("Lunch",$C495)),$D495="Asian"),RAND(),"")</f>
        <v/>
      </c>
      <c r="K495" s="28">
        <f>IF(AND(ISNUMBER(SEARCH("Lunch",$C495)),$D495="Chinese"),RAND(),"")</f>
        <v/>
      </c>
      <c r="L495" s="28">
        <f>IF(AND(ISNUMBER(SEARCH("Lunch",$C495)),$D495="Western"),RAND(),"")</f>
        <v/>
      </c>
      <c r="M495" s="28">
        <f>IF(AND(ISNUMBER(SEARCH("Dinner",$C495)),$D495="Asian"),RAND(),"")</f>
        <v/>
      </c>
      <c r="N495" s="28">
        <f>IF(AND(ISNUMBER(SEARCH("Dinner",$C495)),$D495="Chinese"),RAND(),"")</f>
        <v/>
      </c>
      <c r="O495" s="28">
        <f>IF(AND(ISNUMBER(SEARCH("Dinner",$C495)),$D495="Western"),RAND(),"")</f>
        <v/>
      </c>
    </row>
    <row r="496" ht="15.75" customHeight="1" s="36">
      <c r="A496" s="18" t="inlineStr">
        <is>
          <t>Zucchini Pancake</t>
        </is>
      </c>
      <c r="B496" s="18" t="inlineStr">
        <is>
          <t>Zuchini, Korean Tang Hoon, Egg, Spring Onion, Sesame Oil, Oyster Sauce, White Pepper, Salt</t>
        </is>
      </c>
      <c r="C496" s="17" t="inlineStr">
        <is>
          <t>Dinner</t>
        </is>
      </c>
      <c r="D496" s="30" t="inlineStr">
        <is>
          <t>Western</t>
        </is>
      </c>
      <c r="E496" s="17" t="inlineStr">
        <is>
          <t>Low</t>
        </is>
      </c>
      <c r="F496" s="19" t="inlineStr">
        <is>
          <t>https://www.instagram.com/reel/DLXMChhTs9C/?igsh=MW55Z3RlZzFqZmNkcA==</t>
        </is>
      </c>
      <c r="G496" s="27">
        <f>IF(AND(ISNUMBER(SEARCH("Breakfast",$C496)),$D496="Asian"),RAND(),"")</f>
        <v/>
      </c>
      <c r="H496" s="27">
        <f>IF(AND(ISNUMBER(SEARCH("Breakfast",$C496)),$D496="Chinese"),RAND(),"")</f>
        <v/>
      </c>
      <c r="I496" s="27">
        <f>IF(AND(ISNUMBER(SEARCH("Breakfast",$C496)),$D496="Western"),RAND(),"")</f>
        <v/>
      </c>
      <c r="J496" s="27">
        <f>IF(AND(ISNUMBER(SEARCH("Lunch",$C496)),$D496="Asian"),RAND(),"")</f>
        <v/>
      </c>
      <c r="K496" s="27">
        <f>IF(AND(ISNUMBER(SEARCH("Lunch",$C496)),$D496="Chinese"),RAND(),"")</f>
        <v/>
      </c>
      <c r="L496" s="27">
        <f>IF(AND(ISNUMBER(SEARCH("Lunch",$C496)),$D496="Western"),RAND(),"")</f>
        <v/>
      </c>
      <c r="M496" s="27">
        <f>IF(AND(ISNUMBER(SEARCH("Dinner",$C496)),$D496="Asian"),RAND(),"")</f>
        <v/>
      </c>
      <c r="N496" s="27">
        <f>IF(AND(ISNUMBER(SEARCH("Dinner",$C496)),$D496="Chinese"),RAND(),"")</f>
        <v/>
      </c>
      <c r="O496" s="27">
        <f>IF(AND(ISNUMBER(SEARCH("Dinner",$C496)),$D496="Western"),RAND(),"")</f>
        <v/>
      </c>
    </row>
    <row r="497" ht="15.75" customHeight="1" s="36">
      <c r="A497" s="22" t="inlineStr">
        <is>
          <t>Zucchini Spaghetti (Ninja Kitchen)</t>
        </is>
      </c>
      <c r="B497" s="22" t="inlineStr">
        <is>
          <t>Zucchini, Frozen pea, tomato, Basil Leaves, Garlic, Pine Nut, Parmesan Cheese</t>
        </is>
      </c>
      <c r="C497" s="21" t="inlineStr">
        <is>
          <t>Dinner</t>
        </is>
      </c>
      <c r="D497" s="30" t="inlineStr">
        <is>
          <t>Western</t>
        </is>
      </c>
      <c r="E497" s="21" t="inlineStr">
        <is>
          <t>High</t>
        </is>
      </c>
      <c r="F497" s="22" t="n"/>
      <c r="G497" s="28">
        <f>IF(AND(ISNUMBER(SEARCH("Breakfast",$C497)),$D497="Asian"),RAND(),"")</f>
        <v/>
      </c>
      <c r="H497" s="28">
        <f>IF(AND(ISNUMBER(SEARCH("Breakfast",$C497)),$D497="Chinese"),RAND(),"")</f>
        <v/>
      </c>
      <c r="I497" s="28">
        <f>IF(AND(ISNUMBER(SEARCH("Breakfast",$C497)),$D497="Western"),RAND(),"")</f>
        <v/>
      </c>
      <c r="J497" s="28">
        <f>IF(AND(ISNUMBER(SEARCH("Lunch",$C497)),$D497="Asian"),RAND(),"")</f>
        <v/>
      </c>
      <c r="K497" s="28">
        <f>IF(AND(ISNUMBER(SEARCH("Lunch",$C497)),$D497="Chinese"),RAND(),"")</f>
        <v/>
      </c>
      <c r="L497" s="28">
        <f>IF(AND(ISNUMBER(SEARCH("Lunch",$C497)),$D497="Western"),RAND(),"")</f>
        <v/>
      </c>
      <c r="M497" s="28">
        <f>IF(AND(ISNUMBER(SEARCH("Dinner",$C497)),$D497="Asian"),RAND(),"")</f>
        <v/>
      </c>
      <c r="N497" s="28">
        <f>IF(AND(ISNUMBER(SEARCH("Dinner",$C497)),$D497="Chinese"),RAND(),"")</f>
        <v/>
      </c>
      <c r="O497" s="28">
        <f>IF(AND(ISNUMBER(SEARCH("Dinner",$C497)),$D497="Western"),RAND(),"")</f>
        <v/>
      </c>
    </row>
    <row r="498" ht="15.75" customHeight="1" s="36">
      <c r="A498" s="31" t="inlineStr">
        <is>
          <t>三宝汤</t>
        </is>
      </c>
      <c r="B498" s="18" t="inlineStr">
        <is>
          <t>—</t>
        </is>
      </c>
      <c r="C498" s="17" t="inlineStr">
        <is>
          <t>Dinner</t>
        </is>
      </c>
      <c r="D498" s="26" t="inlineStr">
        <is>
          <t>Chinese</t>
        </is>
      </c>
      <c r="E498" s="17" t="inlineStr">
        <is>
          <t>High</t>
        </is>
      </c>
      <c r="F498" s="18" t="n"/>
      <c r="G498" s="27">
        <f>IF(AND(ISNUMBER(SEARCH("Breakfast",$C498)),$D498="Asian"),RAND(),"")</f>
        <v/>
      </c>
      <c r="H498" s="27">
        <f>IF(AND(ISNUMBER(SEARCH("Breakfast",$C498)),$D498="Chinese"),RAND(),"")</f>
        <v/>
      </c>
      <c r="I498" s="27">
        <f>IF(AND(ISNUMBER(SEARCH("Breakfast",$C498)),$D498="Western"),RAND(),"")</f>
        <v/>
      </c>
      <c r="J498" s="27">
        <f>IF(AND(ISNUMBER(SEARCH("Lunch",$C498)),$D498="Asian"),RAND(),"")</f>
        <v/>
      </c>
      <c r="K498" s="27">
        <f>IF(AND(ISNUMBER(SEARCH("Lunch",$C498)),$D498="Chinese"),RAND(),"")</f>
        <v/>
      </c>
      <c r="L498" s="27">
        <f>IF(AND(ISNUMBER(SEARCH("Lunch",$C498)),$D498="Western"),RAND(),"")</f>
        <v/>
      </c>
      <c r="M498" s="27">
        <f>IF(AND(ISNUMBER(SEARCH("Dinner",$C498)),$D498="Asian"),RAND(),"")</f>
        <v/>
      </c>
      <c r="N498" s="27">
        <f>IF(AND(ISNUMBER(SEARCH("Dinner",$C498)),$D498="Chinese"),RAND(),"")</f>
        <v/>
      </c>
      <c r="O498" s="27">
        <f>IF(AND(ISNUMBER(SEARCH("Dinner",$C498)),$D498="Western"),RAND(),"")</f>
        <v/>
      </c>
      <c r="P498" s="0" t="b">
        <v>1</v>
      </c>
    </row>
    <row r="499" ht="15.75" customHeight="1" s="36">
      <c r="A499" s="32" t="inlineStr">
        <is>
          <t>三色蛋菜</t>
        </is>
      </c>
      <c r="B499" s="32" t="inlineStr">
        <is>
          <t>油麦菜, 红萝卜, 鸡蛋</t>
        </is>
      </c>
      <c r="C499" s="21" t="inlineStr">
        <is>
          <t>Dinner</t>
        </is>
      </c>
      <c r="D499" s="26" t="inlineStr">
        <is>
          <t>Chinese</t>
        </is>
      </c>
      <c r="E499" s="21" t="inlineStr">
        <is>
          <t>High</t>
        </is>
      </c>
      <c r="F499" s="23" t="inlineStr">
        <is>
          <t>https://cookpad.com/tw/%E9%A3%9F%E8%AD%9C/17317743</t>
        </is>
      </c>
      <c r="G499" s="28">
        <f>IF(AND(ISNUMBER(SEARCH("Breakfast",$C499)),$D499="Asian"),RAND(),"")</f>
        <v/>
      </c>
      <c r="H499" s="28">
        <f>IF(AND(ISNUMBER(SEARCH("Breakfast",$C499)),$D499="Chinese"),RAND(),"")</f>
        <v/>
      </c>
      <c r="I499" s="28">
        <f>IF(AND(ISNUMBER(SEARCH("Breakfast",$C499)),$D499="Western"),RAND(),"")</f>
        <v/>
      </c>
      <c r="J499" s="28">
        <f>IF(AND(ISNUMBER(SEARCH("Lunch",$C499)),$D499="Asian"),RAND(),"")</f>
        <v/>
      </c>
      <c r="K499" s="28">
        <f>IF(AND(ISNUMBER(SEARCH("Lunch",$C499)),$D499="Chinese"),RAND(),"")</f>
        <v/>
      </c>
      <c r="L499" s="28">
        <f>IF(AND(ISNUMBER(SEARCH("Lunch",$C499)),$D499="Western"),RAND(),"")</f>
        <v/>
      </c>
      <c r="M499" s="28">
        <f>IF(AND(ISNUMBER(SEARCH("Dinner",$C499)),$D499="Asian"),RAND(),"")</f>
        <v/>
      </c>
      <c r="N499" s="28">
        <f>IF(AND(ISNUMBER(SEARCH("Dinner",$C499)),$D499="Chinese"),RAND(),"")</f>
        <v/>
      </c>
      <c r="O499" s="28">
        <f>IF(AND(ISNUMBER(SEARCH("Dinner",$C499)),$D499="Western"),RAND(),"")</f>
        <v/>
      </c>
    </row>
    <row r="500" ht="15.75" customHeight="1" s="36">
      <c r="A500" s="31" t="inlineStr">
        <is>
          <t>三蛋菜</t>
        </is>
      </c>
      <c r="B500" s="18" t="inlineStr">
        <is>
          <t>—</t>
        </is>
      </c>
      <c r="C500" s="17" t="inlineStr">
        <is>
          <t>Dinner</t>
        </is>
      </c>
      <c r="D500" s="26" t="inlineStr">
        <is>
          <t>Chinese</t>
        </is>
      </c>
      <c r="E500" s="17" t="inlineStr">
        <is>
          <t>High</t>
        </is>
      </c>
      <c r="F500" s="18" t="n"/>
      <c r="G500" s="27">
        <f>IF(AND(ISNUMBER(SEARCH("Breakfast",$C500)),$D500="Asian"),RAND(),"")</f>
        <v/>
      </c>
      <c r="H500" s="27">
        <f>IF(AND(ISNUMBER(SEARCH("Breakfast",$C500)),$D500="Chinese"),RAND(),"")</f>
        <v/>
      </c>
      <c r="I500" s="27">
        <f>IF(AND(ISNUMBER(SEARCH("Breakfast",$C500)),$D500="Western"),RAND(),"")</f>
        <v/>
      </c>
      <c r="J500" s="27">
        <f>IF(AND(ISNUMBER(SEARCH("Lunch",$C500)),$D500="Asian"),RAND(),"")</f>
        <v/>
      </c>
      <c r="K500" s="27">
        <f>IF(AND(ISNUMBER(SEARCH("Lunch",$C500)),$D500="Chinese"),RAND(),"")</f>
        <v/>
      </c>
      <c r="L500" s="27">
        <f>IF(AND(ISNUMBER(SEARCH("Lunch",$C500)),$D500="Western"),RAND(),"")</f>
        <v/>
      </c>
      <c r="M500" s="27">
        <f>IF(AND(ISNUMBER(SEARCH("Dinner",$C500)),$D500="Asian"),RAND(),"")</f>
        <v/>
      </c>
      <c r="N500" s="27">
        <f>IF(AND(ISNUMBER(SEARCH("Dinner",$C500)),$D500="Chinese"),RAND(),"")</f>
        <v/>
      </c>
      <c r="O500" s="27">
        <f>IF(AND(ISNUMBER(SEARCH("Dinner",$C500)),$D500="Western"),RAND(),"")</f>
        <v/>
      </c>
    </row>
    <row r="501" ht="15.75" customHeight="1" s="36">
      <c r="A501" s="32" t="inlineStr">
        <is>
          <t>三鲜汤</t>
        </is>
      </c>
      <c r="B501" s="22" t="inlineStr">
        <is>
          <t>Egg, Garlic, Shrimp, mushroom, Shimeiji Mushrrom, Tofu, Goji Berry</t>
        </is>
      </c>
      <c r="C501" s="21" t="inlineStr">
        <is>
          <t>Dinner</t>
        </is>
      </c>
      <c r="D501" s="26" t="inlineStr">
        <is>
          <t>Chinese</t>
        </is>
      </c>
      <c r="E501" s="21" t="inlineStr">
        <is>
          <t>High</t>
        </is>
      </c>
      <c r="F501" s="23" t="inlineStr">
        <is>
          <t>https://www.instagram.com/reel/Cb-YROxj0nH/?igshid=YmMyMTA2M2Y=</t>
        </is>
      </c>
      <c r="G501" s="28">
        <f>IF(AND(ISNUMBER(SEARCH("Breakfast",$C501)),$D501="Asian"),RAND(),"")</f>
        <v/>
      </c>
      <c r="H501" s="28">
        <f>IF(AND(ISNUMBER(SEARCH("Breakfast",$C501)),$D501="Chinese"),RAND(),"")</f>
        <v/>
      </c>
      <c r="I501" s="28">
        <f>IF(AND(ISNUMBER(SEARCH("Breakfast",$C501)),$D501="Western"),RAND(),"")</f>
        <v/>
      </c>
      <c r="J501" s="28">
        <f>IF(AND(ISNUMBER(SEARCH("Lunch",$C501)),$D501="Asian"),RAND(),"")</f>
        <v/>
      </c>
      <c r="K501" s="28">
        <f>IF(AND(ISNUMBER(SEARCH("Lunch",$C501)),$D501="Chinese"),RAND(),"")</f>
        <v/>
      </c>
      <c r="L501" s="28">
        <f>IF(AND(ISNUMBER(SEARCH("Lunch",$C501)),$D501="Western"),RAND(),"")</f>
        <v/>
      </c>
      <c r="M501" s="28">
        <f>IF(AND(ISNUMBER(SEARCH("Dinner",$C501)),$D501="Asian"),RAND(),"")</f>
        <v/>
      </c>
      <c r="N501" s="28">
        <f>IF(AND(ISNUMBER(SEARCH("Dinner",$C501)),$D501="Chinese"),RAND(),"")</f>
        <v/>
      </c>
      <c r="O501" s="28">
        <f>IF(AND(ISNUMBER(SEARCH("Dinner",$C501)),$D501="Western"),RAND(),"")</f>
        <v/>
      </c>
      <c r="P501" s="0" t="b">
        <v>1</v>
      </c>
    </row>
    <row r="502" ht="15.75" customHeight="1" s="36">
      <c r="A502" s="31" t="inlineStr">
        <is>
          <t>丝瓜</t>
        </is>
      </c>
      <c r="B502" s="18" t="inlineStr">
        <is>
          <t>Eggs, Goji Berry, Ginger, Oil, Salt, garlic, goji</t>
        </is>
      </c>
      <c r="C502" s="17" t="inlineStr">
        <is>
          <t>Dinner</t>
        </is>
      </c>
      <c r="D502" s="26" t="inlineStr">
        <is>
          <t>Chinese</t>
        </is>
      </c>
      <c r="E502" s="17" t="inlineStr">
        <is>
          <t>High</t>
        </is>
      </c>
      <c r="F502" s="19" t="inlineStr">
        <is>
          <t>https://icook.tw/recipes/373267?utm_source=copy&amp;utm_medium=sharev3&amp;utm_campaign=recipe-share</t>
        </is>
      </c>
      <c r="G502" s="27">
        <f>IF(AND(ISNUMBER(SEARCH("Breakfast",$C502)),$D502="Asian"),RAND(),"")</f>
        <v/>
      </c>
      <c r="H502" s="27">
        <f>IF(AND(ISNUMBER(SEARCH("Breakfast",$C502)),$D502="Chinese"),RAND(),"")</f>
        <v/>
      </c>
      <c r="I502" s="27">
        <f>IF(AND(ISNUMBER(SEARCH("Breakfast",$C502)),$D502="Western"),RAND(),"")</f>
        <v/>
      </c>
      <c r="J502" s="27">
        <f>IF(AND(ISNUMBER(SEARCH("Lunch",$C502)),$D502="Asian"),RAND(),"")</f>
        <v/>
      </c>
      <c r="K502" s="27">
        <f>IF(AND(ISNUMBER(SEARCH("Lunch",$C502)),$D502="Chinese"),RAND(),"")</f>
        <v/>
      </c>
      <c r="L502" s="27">
        <f>IF(AND(ISNUMBER(SEARCH("Lunch",$C502)),$D502="Western"),RAND(),"")</f>
        <v/>
      </c>
      <c r="M502" s="27">
        <f>IF(AND(ISNUMBER(SEARCH("Dinner",$C502)),$D502="Asian"),RAND(),"")</f>
        <v/>
      </c>
      <c r="N502" s="27">
        <f>IF(AND(ISNUMBER(SEARCH("Dinner",$C502)),$D502="Chinese"),RAND(),"")</f>
        <v/>
      </c>
      <c r="O502" s="27">
        <f>IF(AND(ISNUMBER(SEARCH("Dinner",$C502)),$D502="Western"),RAND(),"")</f>
        <v/>
      </c>
    </row>
    <row r="503" ht="15.75" customHeight="1" s="36">
      <c r="A503" s="32" t="inlineStr">
        <is>
          <t>丝瓜煎饼</t>
        </is>
      </c>
      <c r="B503" s="32" t="inlineStr">
        <is>
          <t>丝瓜, Salt, potato starch, corn starch, Bonito Flakes</t>
        </is>
      </c>
      <c r="C503" s="21" t="inlineStr">
        <is>
          <t>Dinner</t>
        </is>
      </c>
      <c r="D503" s="26" t="inlineStr">
        <is>
          <t>Chinese</t>
        </is>
      </c>
      <c r="E503" s="21" t="inlineStr">
        <is>
          <t>High</t>
        </is>
      </c>
      <c r="F503" s="23" t="inlineStr">
        <is>
          <t>https://www.instagram.com/reel/DKHLvTptAGN/?igsh=MW56dmY0aHltcW9wag==</t>
        </is>
      </c>
      <c r="G503" s="28">
        <f>IF(AND(ISNUMBER(SEARCH("Breakfast",$C503)),$D503="Asian"),RAND(),"")</f>
        <v/>
      </c>
      <c r="H503" s="28">
        <f>IF(AND(ISNUMBER(SEARCH("Breakfast",$C503)),$D503="Chinese"),RAND(),"")</f>
        <v/>
      </c>
      <c r="I503" s="28">
        <f>IF(AND(ISNUMBER(SEARCH("Breakfast",$C503)),$D503="Western"),RAND(),"")</f>
        <v/>
      </c>
      <c r="J503" s="28">
        <f>IF(AND(ISNUMBER(SEARCH("Lunch",$C503)),$D503="Asian"),RAND(),"")</f>
        <v/>
      </c>
      <c r="K503" s="28">
        <f>IF(AND(ISNUMBER(SEARCH("Lunch",$C503)),$D503="Chinese"),RAND(),"")</f>
        <v/>
      </c>
      <c r="L503" s="28">
        <f>IF(AND(ISNUMBER(SEARCH("Lunch",$C503)),$D503="Western"),RAND(),"")</f>
        <v/>
      </c>
      <c r="M503" s="28">
        <f>IF(AND(ISNUMBER(SEARCH("Dinner",$C503)),$D503="Asian"),RAND(),"")</f>
        <v/>
      </c>
      <c r="N503" s="28">
        <f>IF(AND(ISNUMBER(SEARCH("Dinner",$C503)),$D503="Chinese"),RAND(),"")</f>
        <v/>
      </c>
      <c r="O503" s="28">
        <f>IF(AND(ISNUMBER(SEARCH("Dinner",$C503)),$D503="Western"),RAND(),"")</f>
        <v/>
      </c>
    </row>
    <row r="504" ht="15.75" customHeight="1" s="36">
      <c r="A504" s="31" t="inlineStr">
        <is>
          <t>冰菜</t>
        </is>
      </c>
      <c r="B504" s="18" t="inlineStr">
        <is>
          <t>Garlic</t>
        </is>
      </c>
      <c r="C504" s="17" t="inlineStr">
        <is>
          <t>Dinner</t>
        </is>
      </c>
      <c r="D504" s="26" t="inlineStr">
        <is>
          <t>Chinese</t>
        </is>
      </c>
      <c r="E504" s="17" t="inlineStr">
        <is>
          <t>High</t>
        </is>
      </c>
      <c r="F504" s="19" t="inlineStr">
        <is>
          <t>https://icook.tw/recipes/279669?utm_source=copy&amp;utm_medium=sharev3&amp;utm_campaign=recipe-share</t>
        </is>
      </c>
      <c r="G504" s="27">
        <f>IF(AND(ISNUMBER(SEARCH("Breakfast",$C504)),$D504="Asian"),RAND(),"")</f>
        <v/>
      </c>
      <c r="H504" s="27">
        <f>IF(AND(ISNUMBER(SEARCH("Breakfast",$C504)),$D504="Chinese"),RAND(),"")</f>
        <v/>
      </c>
      <c r="I504" s="27">
        <f>IF(AND(ISNUMBER(SEARCH("Breakfast",$C504)),$D504="Western"),RAND(),"")</f>
        <v/>
      </c>
      <c r="J504" s="27">
        <f>IF(AND(ISNUMBER(SEARCH("Lunch",$C504)),$D504="Asian"),RAND(),"")</f>
        <v/>
      </c>
      <c r="K504" s="27">
        <f>IF(AND(ISNUMBER(SEARCH("Lunch",$C504)),$D504="Chinese"),RAND(),"")</f>
        <v/>
      </c>
      <c r="L504" s="27">
        <f>IF(AND(ISNUMBER(SEARCH("Lunch",$C504)),$D504="Western"),RAND(),"")</f>
        <v/>
      </c>
      <c r="M504" s="27">
        <f>IF(AND(ISNUMBER(SEARCH("Dinner",$C504)),$D504="Asian"),RAND(),"")</f>
        <v/>
      </c>
      <c r="N504" s="27">
        <f>IF(AND(ISNUMBER(SEARCH("Dinner",$C504)),$D504="Chinese"),RAND(),"")</f>
        <v/>
      </c>
      <c r="O504" s="27">
        <f>IF(AND(ISNUMBER(SEARCH("Dinner",$C504)),$D504="Western"),RAND(),"")</f>
        <v/>
      </c>
    </row>
    <row r="505" ht="15.75" customHeight="1" s="36">
      <c r="A505" s="32" t="inlineStr">
        <is>
          <t>凉拌杏鲍菇</t>
        </is>
      </c>
      <c r="B505" s="32" t="inlineStr">
        <is>
          <t>杏鲍菇, Garlic, Green Onion, Parsley, Sesame, Vinegar, Soya sauce</t>
        </is>
      </c>
      <c r="C505" s="21" t="inlineStr">
        <is>
          <t>Dinner</t>
        </is>
      </c>
      <c r="D505" s="26" t="inlineStr">
        <is>
          <t>Chinese</t>
        </is>
      </c>
      <c r="E505" s="21" t="inlineStr">
        <is>
          <t>High</t>
        </is>
      </c>
      <c r="F505" s="23" t="inlineStr">
        <is>
          <t>https://www.instagram.com/reel/DI5SUJhz3ub/?igsh=YmF6Zmk5cnZ4bnBs</t>
        </is>
      </c>
      <c r="G505" s="28">
        <f>IF(AND(ISNUMBER(SEARCH("Breakfast",$C505)),$D505="Asian"),RAND(),"")</f>
        <v/>
      </c>
      <c r="H505" s="28">
        <f>IF(AND(ISNUMBER(SEARCH("Breakfast",$C505)),$D505="Chinese"),RAND(),"")</f>
        <v/>
      </c>
      <c r="I505" s="28">
        <f>IF(AND(ISNUMBER(SEARCH("Breakfast",$C505)),$D505="Western"),RAND(),"")</f>
        <v/>
      </c>
      <c r="J505" s="28">
        <f>IF(AND(ISNUMBER(SEARCH("Lunch",$C505)),$D505="Asian"),RAND(),"")</f>
        <v/>
      </c>
      <c r="K505" s="28">
        <f>IF(AND(ISNUMBER(SEARCH("Lunch",$C505)),$D505="Chinese"),RAND(),"")</f>
        <v/>
      </c>
      <c r="L505" s="28">
        <f>IF(AND(ISNUMBER(SEARCH("Lunch",$C505)),$D505="Western"),RAND(),"")</f>
        <v/>
      </c>
      <c r="M505" s="28">
        <f>IF(AND(ISNUMBER(SEARCH("Dinner",$C505)),$D505="Asian"),RAND(),"")</f>
        <v/>
      </c>
      <c r="N505" s="28">
        <f>IF(AND(ISNUMBER(SEARCH("Dinner",$C505)),$D505="Chinese"),RAND(),"")</f>
        <v/>
      </c>
      <c r="O505" s="28">
        <f>IF(AND(ISNUMBER(SEARCH("Dinner",$C505)),$D505="Western"),RAND(),"")</f>
        <v/>
      </c>
    </row>
    <row r="506" ht="15.75" customHeight="1" s="36">
      <c r="A506" s="31" t="inlineStr">
        <is>
          <t>凉拌杏鲍菇花椰菜</t>
        </is>
      </c>
      <c r="B506" s="18" t="inlineStr">
        <is>
          <t>Broccoli, 杏鲍菇, Carrot</t>
        </is>
      </c>
      <c r="C506" s="17" t="inlineStr">
        <is>
          <t>Dinner</t>
        </is>
      </c>
      <c r="D506" s="26" t="inlineStr">
        <is>
          <t>Chinese</t>
        </is>
      </c>
      <c r="E506" s="17" t="inlineStr">
        <is>
          <t>High</t>
        </is>
      </c>
      <c r="F506" s="19" t="inlineStr">
        <is>
          <t>https://icook.tw/recipes/304250?utm_source=copy&amp;utm_medium=sharev3&amp;utm_campaign=recipe-share</t>
        </is>
      </c>
      <c r="G506" s="27">
        <f>IF(AND(ISNUMBER(SEARCH("Breakfast",$C506)),$D506="Asian"),RAND(),"")</f>
        <v/>
      </c>
      <c r="H506" s="27">
        <f>IF(AND(ISNUMBER(SEARCH("Breakfast",$C506)),$D506="Chinese"),RAND(),"")</f>
        <v/>
      </c>
      <c r="I506" s="27">
        <f>IF(AND(ISNUMBER(SEARCH("Breakfast",$C506)),$D506="Western"),RAND(),"")</f>
        <v/>
      </c>
      <c r="J506" s="27">
        <f>IF(AND(ISNUMBER(SEARCH("Lunch",$C506)),$D506="Asian"),RAND(),"")</f>
        <v/>
      </c>
      <c r="K506" s="27">
        <f>IF(AND(ISNUMBER(SEARCH("Lunch",$C506)),$D506="Chinese"),RAND(),"")</f>
        <v/>
      </c>
      <c r="L506" s="27">
        <f>IF(AND(ISNUMBER(SEARCH("Lunch",$C506)),$D506="Western"),RAND(),"")</f>
        <v/>
      </c>
      <c r="M506" s="27">
        <f>IF(AND(ISNUMBER(SEARCH("Dinner",$C506)),$D506="Asian"),RAND(),"")</f>
        <v/>
      </c>
      <c r="N506" s="27">
        <f>IF(AND(ISNUMBER(SEARCH("Dinner",$C506)),$D506="Chinese"),RAND(),"")</f>
        <v/>
      </c>
      <c r="O506" s="27">
        <f>IF(AND(ISNUMBER(SEARCH("Dinner",$C506)),$D506="Western"),RAND(),"")</f>
        <v/>
      </c>
    </row>
    <row r="507" ht="15.75" customHeight="1" s="36">
      <c r="A507" s="32" t="inlineStr">
        <is>
          <t>凉拌秋葵海带芽</t>
        </is>
      </c>
      <c r="B507" s="32" t="inlineStr">
        <is>
          <t>海带芽, 秋葵, 白芝麻, 蒜头, chicken powder</t>
        </is>
      </c>
      <c r="C507" s="21" t="inlineStr">
        <is>
          <t>Dinner</t>
        </is>
      </c>
      <c r="D507" s="26" t="inlineStr">
        <is>
          <t>Chinese</t>
        </is>
      </c>
      <c r="E507" s="21" t="inlineStr">
        <is>
          <t>High</t>
        </is>
      </c>
      <c r="F507" s="23" t="inlineStr">
        <is>
          <t>https://icook.tw/recipes/462299?utm_source=copy&amp;utm_medium=sharev3&amp;utm_campaign=recipe-share</t>
        </is>
      </c>
      <c r="G507" s="28">
        <f>IF(AND(ISNUMBER(SEARCH("Breakfast",$C507)),$D507="Asian"),RAND(),"")</f>
        <v/>
      </c>
      <c r="H507" s="28">
        <f>IF(AND(ISNUMBER(SEARCH("Breakfast",$C507)),$D507="Chinese"),RAND(),"")</f>
        <v/>
      </c>
      <c r="I507" s="28">
        <f>IF(AND(ISNUMBER(SEARCH("Breakfast",$C507)),$D507="Western"),RAND(),"")</f>
        <v/>
      </c>
      <c r="J507" s="28">
        <f>IF(AND(ISNUMBER(SEARCH("Lunch",$C507)),$D507="Asian"),RAND(),"")</f>
        <v/>
      </c>
      <c r="K507" s="28">
        <f>IF(AND(ISNUMBER(SEARCH("Lunch",$C507)),$D507="Chinese"),RAND(),"")</f>
        <v/>
      </c>
      <c r="L507" s="28">
        <f>IF(AND(ISNUMBER(SEARCH("Lunch",$C507)),$D507="Western"),RAND(),"")</f>
        <v/>
      </c>
      <c r="M507" s="28">
        <f>IF(AND(ISNUMBER(SEARCH("Dinner",$C507)),$D507="Asian"),RAND(),"")</f>
        <v/>
      </c>
      <c r="N507" s="28">
        <f>IF(AND(ISNUMBER(SEARCH("Dinner",$C507)),$D507="Chinese"),RAND(),"")</f>
        <v/>
      </c>
      <c r="O507" s="28">
        <f>IF(AND(ISNUMBER(SEARCH("Dinner",$C507)),$D507="Western"),RAND(),"")</f>
        <v/>
      </c>
    </row>
    <row r="508" ht="15.75" customHeight="1" s="36">
      <c r="A508" s="31" t="inlineStr">
        <is>
          <t>凉拌鸡丝</t>
        </is>
      </c>
      <c r="B508" s="18" t="inlineStr">
        <is>
          <t>Chicken Breast, Cucumber, Ham, Sesame Paste</t>
        </is>
      </c>
      <c r="C508" s="17" t="inlineStr">
        <is>
          <t>Lunch</t>
        </is>
      </c>
      <c r="D508" s="26" t="inlineStr">
        <is>
          <t>Chinese</t>
        </is>
      </c>
      <c r="E508" s="17" t="inlineStr">
        <is>
          <t>High</t>
        </is>
      </c>
      <c r="F508" s="19" t="inlineStr">
        <is>
          <t>https://icook.tw/recipes/417440?utm_source=copy&amp;utm_medium=sharev3&amp;utm_campaign=recipe-share</t>
        </is>
      </c>
      <c r="G508" s="27">
        <f>IF(AND(ISNUMBER(SEARCH("Breakfast",$C508)),$D508="Asian"),RAND(),"")</f>
        <v/>
      </c>
      <c r="H508" s="27">
        <f>IF(AND(ISNUMBER(SEARCH("Breakfast",$C508)),$D508="Chinese"),RAND(),"")</f>
        <v/>
      </c>
      <c r="I508" s="27">
        <f>IF(AND(ISNUMBER(SEARCH("Breakfast",$C508)),$D508="Western"),RAND(),"")</f>
        <v/>
      </c>
      <c r="J508" s="27">
        <f>IF(AND(ISNUMBER(SEARCH("Lunch",$C508)),$D508="Asian"),RAND(),"")</f>
        <v/>
      </c>
      <c r="K508" s="27">
        <f>IF(AND(ISNUMBER(SEARCH("Lunch",$C508)),$D508="Chinese"),RAND(),"")</f>
        <v/>
      </c>
      <c r="L508" s="27">
        <f>IF(AND(ISNUMBER(SEARCH("Lunch",$C508)),$D508="Western"),RAND(),"")</f>
        <v/>
      </c>
      <c r="M508" s="27">
        <f>IF(AND(ISNUMBER(SEARCH("Dinner",$C508)),$D508="Asian"),RAND(),"")</f>
        <v/>
      </c>
      <c r="N508" s="27">
        <f>IF(AND(ISNUMBER(SEARCH("Dinner",$C508)),$D508="Chinese"),RAND(),"")</f>
        <v/>
      </c>
      <c r="O508" s="27">
        <f>IF(AND(ISNUMBER(SEARCH("Dinner",$C508)),$D508="Western"),RAND(),"")</f>
        <v/>
      </c>
    </row>
    <row r="509" ht="15.75" customHeight="1" s="36">
      <c r="A509" s="32" t="inlineStr">
        <is>
          <t>十全大補湯</t>
        </is>
      </c>
      <c r="B509" s="22" t="inlineStr">
        <is>
          <t>Soup pack, Pork ribs</t>
        </is>
      </c>
      <c r="C509" s="21" t="inlineStr">
        <is>
          <t>Dinner</t>
        </is>
      </c>
      <c r="D509" s="26" t="inlineStr">
        <is>
          <t>Chinese</t>
        </is>
      </c>
      <c r="E509" s="21" t="inlineStr">
        <is>
          <t>High</t>
        </is>
      </c>
      <c r="F509" s="22" t="n"/>
      <c r="G509" s="28">
        <f>IF(AND(ISNUMBER(SEARCH("Breakfast",$C509)),$D509="Asian"),RAND(),"")</f>
        <v/>
      </c>
      <c r="H509" s="28">
        <f>IF(AND(ISNUMBER(SEARCH("Breakfast",$C509)),$D509="Chinese"),RAND(),"")</f>
        <v/>
      </c>
      <c r="I509" s="28">
        <f>IF(AND(ISNUMBER(SEARCH("Breakfast",$C509)),$D509="Western"),RAND(),"")</f>
        <v/>
      </c>
      <c r="J509" s="28">
        <f>IF(AND(ISNUMBER(SEARCH("Lunch",$C509)),$D509="Asian"),RAND(),"")</f>
        <v/>
      </c>
      <c r="K509" s="28">
        <f>IF(AND(ISNUMBER(SEARCH("Lunch",$C509)),$D509="Chinese"),RAND(),"")</f>
        <v/>
      </c>
      <c r="L509" s="28">
        <f>IF(AND(ISNUMBER(SEARCH("Lunch",$C509)),$D509="Western"),RAND(),"")</f>
        <v/>
      </c>
      <c r="M509" s="28">
        <f>IF(AND(ISNUMBER(SEARCH("Dinner",$C509)),$D509="Asian"),RAND(),"")</f>
        <v/>
      </c>
      <c r="N509" s="28">
        <f>IF(AND(ISNUMBER(SEARCH("Dinner",$C509)),$D509="Chinese"),RAND(),"")</f>
        <v/>
      </c>
      <c r="O509" s="28">
        <f>IF(AND(ISNUMBER(SEARCH("Dinner",$C509)),$D509="Western"),RAND(),"")</f>
        <v/>
      </c>
      <c r="P509" s="0" t="b">
        <v>1</v>
      </c>
    </row>
    <row r="510" ht="15.75" customHeight="1" s="36">
      <c r="A510" s="31" t="inlineStr">
        <is>
          <t>十全补汤</t>
        </is>
      </c>
      <c r="B510" s="18" t="inlineStr">
        <is>
          <t>Soup Pack, 西施骨</t>
        </is>
      </c>
      <c r="C510" s="17" t="inlineStr">
        <is>
          <t>Dinner</t>
        </is>
      </c>
      <c r="D510" s="26" t="inlineStr">
        <is>
          <t>Chinese</t>
        </is>
      </c>
      <c r="E510" s="17" t="inlineStr">
        <is>
          <t>High</t>
        </is>
      </c>
      <c r="F510" s="18" t="n"/>
      <c r="G510" s="27">
        <f>IF(AND(ISNUMBER(SEARCH("Breakfast",$C510)),$D510="Asian"),RAND(),"")</f>
        <v/>
      </c>
      <c r="H510" s="27">
        <f>IF(AND(ISNUMBER(SEARCH("Breakfast",$C510)),$D510="Chinese"),RAND(),"")</f>
        <v/>
      </c>
      <c r="I510" s="27">
        <f>IF(AND(ISNUMBER(SEARCH("Breakfast",$C510)),$D510="Western"),RAND(),"")</f>
        <v/>
      </c>
      <c r="J510" s="27">
        <f>IF(AND(ISNUMBER(SEARCH("Lunch",$C510)),$D510="Asian"),RAND(),"")</f>
        <v/>
      </c>
      <c r="K510" s="27">
        <f>IF(AND(ISNUMBER(SEARCH("Lunch",$C510)),$D510="Chinese"),RAND(),"")</f>
        <v/>
      </c>
      <c r="L510" s="27">
        <f>IF(AND(ISNUMBER(SEARCH("Lunch",$C510)),$D510="Western"),RAND(),"")</f>
        <v/>
      </c>
      <c r="M510" s="27">
        <f>IF(AND(ISNUMBER(SEARCH("Dinner",$C510)),$D510="Asian"),RAND(),"")</f>
        <v/>
      </c>
      <c r="N510" s="27">
        <f>IF(AND(ISNUMBER(SEARCH("Dinner",$C510)),$D510="Chinese"),RAND(),"")</f>
        <v/>
      </c>
      <c r="O510" s="27">
        <f>IF(AND(ISNUMBER(SEARCH("Dinner",$C510)),$D510="Western"),RAND(),"")</f>
        <v/>
      </c>
      <c r="P510" s="0" t="b">
        <v>1</v>
      </c>
    </row>
    <row r="511" ht="15.75" customHeight="1" s="36">
      <c r="A511" s="32" t="inlineStr">
        <is>
          <t>南瓜豆腐</t>
        </is>
      </c>
      <c r="B511" s="22" t="inlineStr">
        <is>
          <t>Pumpkin, Tofu</t>
        </is>
      </c>
      <c r="C511" s="21" t="inlineStr">
        <is>
          <t>Dinner</t>
        </is>
      </c>
      <c r="D511" s="26" t="inlineStr">
        <is>
          <t>Chinese</t>
        </is>
      </c>
      <c r="E511" s="21" t="inlineStr">
        <is>
          <t>High</t>
        </is>
      </c>
      <c r="F511" s="23" t="inlineStr">
        <is>
          <t>http://xhslink.com/tzHEDC</t>
        </is>
      </c>
      <c r="G511" s="28">
        <f>IF(AND(ISNUMBER(SEARCH("Breakfast",$C511)),$D511="Asian"),RAND(),"")</f>
        <v/>
      </c>
      <c r="H511" s="28">
        <f>IF(AND(ISNUMBER(SEARCH("Breakfast",$C511)),$D511="Chinese"),RAND(),"")</f>
        <v/>
      </c>
      <c r="I511" s="28">
        <f>IF(AND(ISNUMBER(SEARCH("Breakfast",$C511)),$D511="Western"),RAND(),"")</f>
        <v/>
      </c>
      <c r="J511" s="28">
        <f>IF(AND(ISNUMBER(SEARCH("Lunch",$C511)),$D511="Asian"),RAND(),"")</f>
        <v/>
      </c>
      <c r="K511" s="28">
        <f>IF(AND(ISNUMBER(SEARCH("Lunch",$C511)),$D511="Chinese"),RAND(),"")</f>
        <v/>
      </c>
      <c r="L511" s="28">
        <f>IF(AND(ISNUMBER(SEARCH("Lunch",$C511)),$D511="Western"),RAND(),"")</f>
        <v/>
      </c>
      <c r="M511" s="28">
        <f>IF(AND(ISNUMBER(SEARCH("Dinner",$C511)),$D511="Asian"),RAND(),"")</f>
        <v/>
      </c>
      <c r="N511" s="28">
        <f>IF(AND(ISNUMBER(SEARCH("Dinner",$C511)),$D511="Chinese"),RAND(),"")</f>
        <v/>
      </c>
      <c r="O511" s="28">
        <f>IF(AND(ISNUMBER(SEARCH("Dinner",$C511)),$D511="Western"),RAND(),"")</f>
        <v/>
      </c>
    </row>
    <row r="512" ht="15.75" customHeight="1" s="36">
      <c r="A512" s="31" t="inlineStr">
        <is>
          <t>南瓜顿饭</t>
        </is>
      </c>
      <c r="B512" s="18" t="inlineStr">
        <is>
          <t>pumpkin, chicken thigh, carrot, shallot, 香菇, rice</t>
        </is>
      </c>
      <c r="C512" s="17" t="inlineStr">
        <is>
          <t>Dinner</t>
        </is>
      </c>
      <c r="D512" s="26" t="inlineStr">
        <is>
          <t>Chinese</t>
        </is>
      </c>
      <c r="E512" s="17" t="inlineStr">
        <is>
          <t>High</t>
        </is>
      </c>
      <c r="F512" s="19" t="inlineStr">
        <is>
          <t>https://www.instagram.com/reel/DLRv0gUTNfU/?igsh=MTh4aXFyd2QzY3Voaw==</t>
        </is>
      </c>
      <c r="G512" s="27">
        <f>IF(AND(ISNUMBER(SEARCH("Breakfast",$C512)),$D512="Asian"),RAND(),"")</f>
        <v/>
      </c>
      <c r="H512" s="27">
        <f>IF(AND(ISNUMBER(SEARCH("Breakfast",$C512)),$D512="Chinese"),RAND(),"")</f>
        <v/>
      </c>
      <c r="I512" s="27">
        <f>IF(AND(ISNUMBER(SEARCH("Breakfast",$C512)),$D512="Western"),RAND(),"")</f>
        <v/>
      </c>
      <c r="J512" s="27">
        <f>IF(AND(ISNUMBER(SEARCH("Lunch",$C512)),$D512="Asian"),RAND(),"")</f>
        <v/>
      </c>
      <c r="K512" s="27">
        <f>IF(AND(ISNUMBER(SEARCH("Lunch",$C512)),$D512="Chinese"),RAND(),"")</f>
        <v/>
      </c>
      <c r="L512" s="27">
        <f>IF(AND(ISNUMBER(SEARCH("Lunch",$C512)),$D512="Western"),RAND(),"")</f>
        <v/>
      </c>
      <c r="M512" s="27">
        <f>IF(AND(ISNUMBER(SEARCH("Dinner",$C512)),$D512="Asian"),RAND(),"")</f>
        <v/>
      </c>
      <c r="N512" s="27">
        <f>IF(AND(ISNUMBER(SEARCH("Dinner",$C512)),$D512="Chinese"),RAND(),"")</f>
        <v/>
      </c>
      <c r="O512" s="27">
        <f>IF(AND(ISNUMBER(SEARCH("Dinner",$C512)),$D512="Western"),RAND(),"")</f>
        <v/>
      </c>
    </row>
    <row r="513" ht="15.75" customHeight="1" s="36">
      <c r="A513" s="32" t="inlineStr">
        <is>
          <t>和風玉米筍秋葵沙拉</t>
        </is>
      </c>
      <c r="B513" s="22" t="inlineStr">
        <is>
          <t>—</t>
        </is>
      </c>
      <c r="C513" s="21" t="inlineStr">
        <is>
          <t>Lunch</t>
        </is>
      </c>
      <c r="D513" s="26" t="inlineStr">
        <is>
          <t>Chinese</t>
        </is>
      </c>
      <c r="E513" s="21" t="inlineStr">
        <is>
          <t>High</t>
        </is>
      </c>
      <c r="F513" s="22" t="n"/>
      <c r="G513" s="28">
        <f>IF(AND(ISNUMBER(SEARCH("Breakfast",$C513)),$D513="Asian"),RAND(),"")</f>
        <v/>
      </c>
      <c r="H513" s="28">
        <f>IF(AND(ISNUMBER(SEARCH("Breakfast",$C513)),$D513="Chinese"),RAND(),"")</f>
        <v/>
      </c>
      <c r="I513" s="28">
        <f>IF(AND(ISNUMBER(SEARCH("Breakfast",$C513)),$D513="Western"),RAND(),"")</f>
        <v/>
      </c>
      <c r="J513" s="28">
        <f>IF(AND(ISNUMBER(SEARCH("Lunch",$C513)),$D513="Asian"),RAND(),"")</f>
        <v/>
      </c>
      <c r="K513" s="28">
        <f>IF(AND(ISNUMBER(SEARCH("Lunch",$C513)),$D513="Chinese"),RAND(),"")</f>
        <v/>
      </c>
      <c r="L513" s="28">
        <f>IF(AND(ISNUMBER(SEARCH("Lunch",$C513)),$D513="Western"),RAND(),"")</f>
        <v/>
      </c>
      <c r="M513" s="28">
        <f>IF(AND(ISNUMBER(SEARCH("Dinner",$C513)),$D513="Asian"),RAND(),"")</f>
        <v/>
      </c>
      <c r="N513" s="28">
        <f>IF(AND(ISNUMBER(SEARCH("Dinner",$C513)),$D513="Chinese"),RAND(),"")</f>
        <v/>
      </c>
      <c r="O513" s="28">
        <f>IF(AND(ISNUMBER(SEARCH("Dinner",$C513)),$D513="Western"),RAND(),"")</f>
        <v/>
      </c>
    </row>
    <row r="514" ht="15.75" customHeight="1" s="36">
      <c r="A514" s="31" t="inlineStr">
        <is>
          <t>四川菜排骨汤</t>
        </is>
      </c>
      <c r="B514" s="31" t="inlineStr">
        <is>
          <t>一字排, 四川菜, Garlic, Peppercorn, Carrot, Water, 榨菜, 排骨, Tomato, Ginger</t>
        </is>
      </c>
      <c r="C514" s="17" t="inlineStr">
        <is>
          <t>Dinner</t>
        </is>
      </c>
      <c r="D514" s="26" t="inlineStr">
        <is>
          <t>Chinese</t>
        </is>
      </c>
      <c r="E514" s="17" t="inlineStr">
        <is>
          <t>High</t>
        </is>
      </c>
      <c r="F514" s="19" t="inlineStr">
        <is>
          <t>http://ifoneday6666.blogspot.com/2014/11/blog-post_1.html</t>
        </is>
      </c>
      <c r="G514" s="27">
        <f>IF(AND(ISNUMBER(SEARCH("Breakfast",$C514)),$D514="Asian"),RAND(),"")</f>
        <v/>
      </c>
      <c r="H514" s="27">
        <f>IF(AND(ISNUMBER(SEARCH("Breakfast",$C514)),$D514="Chinese"),RAND(),"")</f>
        <v/>
      </c>
      <c r="I514" s="27">
        <f>IF(AND(ISNUMBER(SEARCH("Breakfast",$C514)),$D514="Western"),RAND(),"")</f>
        <v/>
      </c>
      <c r="J514" s="27">
        <f>IF(AND(ISNUMBER(SEARCH("Lunch",$C514)),$D514="Asian"),RAND(),"")</f>
        <v/>
      </c>
      <c r="K514" s="27">
        <f>IF(AND(ISNUMBER(SEARCH("Lunch",$C514)),$D514="Chinese"),RAND(),"")</f>
        <v/>
      </c>
      <c r="L514" s="27">
        <f>IF(AND(ISNUMBER(SEARCH("Lunch",$C514)),$D514="Western"),RAND(),"")</f>
        <v/>
      </c>
      <c r="M514" s="27">
        <f>IF(AND(ISNUMBER(SEARCH("Dinner",$C514)),$D514="Asian"),RAND(),"")</f>
        <v/>
      </c>
      <c r="N514" s="27">
        <f>IF(AND(ISNUMBER(SEARCH("Dinner",$C514)),$D514="Chinese"),RAND(),"")</f>
        <v/>
      </c>
      <c r="O514" s="27">
        <f>IF(AND(ISNUMBER(SEARCH("Dinner",$C514)),$D514="Western"),RAND(),"")</f>
        <v/>
      </c>
      <c r="P514" s="0" t="b">
        <v>1</v>
      </c>
    </row>
    <row r="515" ht="15.75" customHeight="1" s="36">
      <c r="A515" s="32" t="inlineStr">
        <is>
          <t>四神汤</t>
        </is>
      </c>
      <c r="B515" s="32" t="inlineStr">
        <is>
          <t>猪肚, 茯苓, 芡实, 莲子, 淮山, 薏仁, 米酒</t>
        </is>
      </c>
      <c r="C515" s="21" t="inlineStr">
        <is>
          <t>Dinner</t>
        </is>
      </c>
      <c r="D515" s="26" t="inlineStr">
        <is>
          <t>Chinese</t>
        </is>
      </c>
      <c r="E515" s="21" t="inlineStr">
        <is>
          <t>High</t>
        </is>
      </c>
      <c r="F515" s="23" t="inlineStr">
        <is>
          <t>https://dreamchefhome.com/%e5%9b%9b%e7%a5%9e%e6%b9%af/</t>
        </is>
      </c>
      <c r="G515" s="28">
        <f>IF(AND(ISNUMBER(SEARCH("Breakfast",$C515)),$D515="Asian"),RAND(),"")</f>
        <v/>
      </c>
      <c r="H515" s="28">
        <f>IF(AND(ISNUMBER(SEARCH("Breakfast",$C515)),$D515="Chinese"),RAND(),"")</f>
        <v/>
      </c>
      <c r="I515" s="28">
        <f>IF(AND(ISNUMBER(SEARCH("Breakfast",$C515)),$D515="Western"),RAND(),"")</f>
        <v/>
      </c>
      <c r="J515" s="28">
        <f>IF(AND(ISNUMBER(SEARCH("Lunch",$C515)),$D515="Asian"),RAND(),"")</f>
        <v/>
      </c>
      <c r="K515" s="28">
        <f>IF(AND(ISNUMBER(SEARCH("Lunch",$C515)),$D515="Chinese"),RAND(),"")</f>
        <v/>
      </c>
      <c r="L515" s="28">
        <f>IF(AND(ISNUMBER(SEARCH("Lunch",$C515)),$D515="Western"),RAND(),"")</f>
        <v/>
      </c>
      <c r="M515" s="28">
        <f>IF(AND(ISNUMBER(SEARCH("Dinner",$C515)),$D515="Asian"),RAND(),"")</f>
        <v/>
      </c>
      <c r="N515" s="28">
        <f>IF(AND(ISNUMBER(SEARCH("Dinner",$C515)),$D515="Chinese"),RAND(),"")</f>
        <v/>
      </c>
      <c r="O515" s="28">
        <f>IF(AND(ISNUMBER(SEARCH("Dinner",$C515)),$D515="Western"),RAND(),"")</f>
        <v/>
      </c>
      <c r="P515" s="0" t="b">
        <v>1</v>
      </c>
    </row>
    <row r="516" ht="15.75" customHeight="1" s="36">
      <c r="A516" s="31" t="inlineStr">
        <is>
          <t>培根包心菜</t>
        </is>
      </c>
      <c r="B516" s="18" t="inlineStr">
        <is>
          <t>Bacon, Cabbage, Garlic, Chu collagen soup, Water, Dried scallops, Fish maw, Shaoxing wine, Goji berry, White pepper, Hokkaido scallops, Abalone, Shimeiji mushrooms</t>
        </is>
      </c>
      <c r="C516" s="17" t="inlineStr">
        <is>
          <t>Dinner</t>
        </is>
      </c>
      <c r="D516" s="26" t="inlineStr">
        <is>
          <t>Chinese</t>
        </is>
      </c>
      <c r="E516" s="17" t="inlineStr">
        <is>
          <t>High</t>
        </is>
      </c>
      <c r="F516" s="19" t="inlineStr">
        <is>
          <t>https://icook.tw/recipes/166978?utm_source=copy&amp;utm_medium=sharev3&amp;utm_campaign=recipe-share</t>
        </is>
      </c>
      <c r="G516" s="27">
        <f>IF(AND(ISNUMBER(SEARCH("Breakfast",$C516)),$D516="Asian"),RAND(),"")</f>
        <v/>
      </c>
      <c r="H516" s="27">
        <f>IF(AND(ISNUMBER(SEARCH("Breakfast",$C516)),$D516="Chinese"),RAND(),"")</f>
        <v/>
      </c>
      <c r="I516" s="27">
        <f>IF(AND(ISNUMBER(SEARCH("Breakfast",$C516)),$D516="Western"),RAND(),"")</f>
        <v/>
      </c>
      <c r="J516" s="27">
        <f>IF(AND(ISNUMBER(SEARCH("Lunch",$C516)),$D516="Asian"),RAND(),"")</f>
        <v/>
      </c>
      <c r="K516" s="27">
        <f>IF(AND(ISNUMBER(SEARCH("Lunch",$C516)),$D516="Chinese"),RAND(),"")</f>
        <v/>
      </c>
      <c r="L516" s="27">
        <f>IF(AND(ISNUMBER(SEARCH("Lunch",$C516)),$D516="Western"),RAND(),"")</f>
        <v/>
      </c>
      <c r="M516" s="27">
        <f>IF(AND(ISNUMBER(SEARCH("Dinner",$C516)),$D516="Asian"),RAND(),"")</f>
        <v/>
      </c>
      <c r="N516" s="27">
        <f>IF(AND(ISNUMBER(SEARCH("Dinner",$C516)),$D516="Chinese"),RAND(),"")</f>
        <v/>
      </c>
      <c r="O516" s="27">
        <f>IF(AND(ISNUMBER(SEARCH("Dinner",$C516)),$D516="Western"),RAND(),"")</f>
        <v/>
      </c>
    </row>
    <row r="517" ht="15.75" customHeight="1" s="36">
      <c r="A517" s="32" t="inlineStr">
        <is>
          <t>奶油醬燒玉米條</t>
        </is>
      </c>
      <c r="B517" s="22" t="inlineStr">
        <is>
          <t>Corn, Olive oil, Butter, Soy Sauce, Mirin, Garlic</t>
        </is>
      </c>
      <c r="C517" s="21" t="inlineStr">
        <is>
          <t>Dinner</t>
        </is>
      </c>
      <c r="D517" s="26" t="inlineStr">
        <is>
          <t>Chinese</t>
        </is>
      </c>
      <c r="E517" s="21" t="inlineStr">
        <is>
          <t>High</t>
        </is>
      </c>
      <c r="F517" s="23" t="inlineStr">
        <is>
          <t>https://icook.tw/recipes/315695?utm_source=other&amp;utm_medium=sharev3&amp;utm_campaign=recipe-share</t>
        </is>
      </c>
      <c r="G517" s="28">
        <f>IF(AND(ISNUMBER(SEARCH("Breakfast",$C517)),$D517="Asian"),RAND(),"")</f>
        <v/>
      </c>
      <c r="H517" s="28">
        <f>IF(AND(ISNUMBER(SEARCH("Breakfast",$C517)),$D517="Chinese"),RAND(),"")</f>
        <v/>
      </c>
      <c r="I517" s="28">
        <f>IF(AND(ISNUMBER(SEARCH("Breakfast",$C517)),$D517="Western"),RAND(),"")</f>
        <v/>
      </c>
      <c r="J517" s="28">
        <f>IF(AND(ISNUMBER(SEARCH("Lunch",$C517)),$D517="Asian"),RAND(),"")</f>
        <v/>
      </c>
      <c r="K517" s="28">
        <f>IF(AND(ISNUMBER(SEARCH("Lunch",$C517)),$D517="Chinese"),RAND(),"")</f>
        <v/>
      </c>
      <c r="L517" s="28">
        <f>IF(AND(ISNUMBER(SEARCH("Lunch",$C517)),$D517="Western"),RAND(),"")</f>
        <v/>
      </c>
      <c r="M517" s="28">
        <f>IF(AND(ISNUMBER(SEARCH("Dinner",$C517)),$D517="Asian"),RAND(),"")</f>
        <v/>
      </c>
      <c r="N517" s="28">
        <f>IF(AND(ISNUMBER(SEARCH("Dinner",$C517)),$D517="Chinese"),RAND(),"")</f>
        <v/>
      </c>
      <c r="O517" s="28">
        <f>IF(AND(ISNUMBER(SEARCH("Dinner",$C517)),$D517="Western"),RAND(),"")</f>
        <v/>
      </c>
    </row>
    <row r="518" ht="15.75" customHeight="1" s="36">
      <c r="A518" s="31" t="inlineStr">
        <is>
          <t>家常南瓜蔬菜湯</t>
        </is>
      </c>
      <c r="B518" s="18" t="inlineStr">
        <is>
          <t>Small Pumpkin, Carrot, Onion</t>
        </is>
      </c>
      <c r="C518" s="17" t="inlineStr">
        <is>
          <t>Dinner</t>
        </is>
      </c>
      <c r="D518" s="26" t="inlineStr">
        <is>
          <t>Chinese</t>
        </is>
      </c>
      <c r="E518" s="17" t="inlineStr">
        <is>
          <t>High</t>
        </is>
      </c>
      <c r="F518" s="19" t="inlineStr">
        <is>
          <t>https://icook.tw/recipes/205846?utm_source=copy&amp;utm_medium=sharev3&amp;utm_campaign=recipe-share</t>
        </is>
      </c>
      <c r="G518" s="27">
        <f>IF(AND(ISNUMBER(SEARCH("Breakfast",$C518)),$D518="Asian"),RAND(),"")</f>
        <v/>
      </c>
      <c r="H518" s="27">
        <f>IF(AND(ISNUMBER(SEARCH("Breakfast",$C518)),$D518="Chinese"),RAND(),"")</f>
        <v/>
      </c>
      <c r="I518" s="27">
        <f>IF(AND(ISNUMBER(SEARCH("Breakfast",$C518)),$D518="Western"),RAND(),"")</f>
        <v/>
      </c>
      <c r="J518" s="27">
        <f>IF(AND(ISNUMBER(SEARCH("Lunch",$C518)),$D518="Asian"),RAND(),"")</f>
        <v/>
      </c>
      <c r="K518" s="27">
        <f>IF(AND(ISNUMBER(SEARCH("Lunch",$C518)),$D518="Chinese"),RAND(),"")</f>
        <v/>
      </c>
      <c r="L518" s="27">
        <f>IF(AND(ISNUMBER(SEARCH("Lunch",$C518)),$D518="Western"),RAND(),"")</f>
        <v/>
      </c>
      <c r="M518" s="27">
        <f>IF(AND(ISNUMBER(SEARCH("Dinner",$C518)),$D518="Asian"),RAND(),"")</f>
        <v/>
      </c>
      <c r="N518" s="27">
        <f>IF(AND(ISNUMBER(SEARCH("Dinner",$C518)),$D518="Chinese"),RAND(),"")</f>
        <v/>
      </c>
      <c r="O518" s="27">
        <f>IF(AND(ISNUMBER(SEARCH("Dinner",$C518)),$D518="Western"),RAND(),"")</f>
        <v/>
      </c>
      <c r="P518" s="0" t="b">
        <v>1</v>
      </c>
    </row>
    <row r="519" ht="15.75" customHeight="1" s="36">
      <c r="A519" s="32" t="inlineStr">
        <is>
          <t>小米苹果汤</t>
        </is>
      </c>
      <c r="B519" s="32" t="inlineStr">
        <is>
          <t>小米, 苹果, 红枣, 枸杞, 红糖</t>
        </is>
      </c>
      <c r="C519" s="21" t="inlineStr">
        <is>
          <t>Lunch</t>
        </is>
      </c>
      <c r="D519" s="26" t="inlineStr">
        <is>
          <t>Chinese</t>
        </is>
      </c>
      <c r="E519" s="21" t="inlineStr">
        <is>
          <t>High</t>
        </is>
      </c>
      <c r="F519" s="23" t="inlineStr">
        <is>
          <t>http://xhslink.com/SseEDC</t>
        </is>
      </c>
      <c r="G519" s="28">
        <f>IF(AND(ISNUMBER(SEARCH("Breakfast",$C519)),$D519="Asian"),RAND(),"")</f>
        <v/>
      </c>
      <c r="H519" s="28">
        <f>IF(AND(ISNUMBER(SEARCH("Breakfast",$C519)),$D519="Chinese"),RAND(),"")</f>
        <v/>
      </c>
      <c r="I519" s="28">
        <f>IF(AND(ISNUMBER(SEARCH("Breakfast",$C519)),$D519="Western"),RAND(),"")</f>
        <v/>
      </c>
      <c r="J519" s="28">
        <f>IF(AND(ISNUMBER(SEARCH("Lunch",$C519)),$D519="Asian"),RAND(),"")</f>
        <v/>
      </c>
      <c r="K519" s="28">
        <f>IF(AND(ISNUMBER(SEARCH("Lunch",$C519)),$D519="Chinese"),RAND(),"")</f>
        <v/>
      </c>
      <c r="L519" s="28">
        <f>IF(AND(ISNUMBER(SEARCH("Lunch",$C519)),$D519="Western"),RAND(),"")</f>
        <v/>
      </c>
      <c r="M519" s="28">
        <f>IF(AND(ISNUMBER(SEARCH("Dinner",$C519)),$D519="Asian"),RAND(),"")</f>
        <v/>
      </c>
      <c r="N519" s="28">
        <f>IF(AND(ISNUMBER(SEARCH("Dinner",$C519)),$D519="Chinese"),RAND(),"")</f>
        <v/>
      </c>
      <c r="O519" s="28">
        <f>IF(AND(ISNUMBER(SEARCH("Dinner",$C519)),$D519="Western"),RAND(),"")</f>
        <v/>
      </c>
      <c r="P519" s="0" t="b">
        <v>1</v>
      </c>
    </row>
    <row r="520" ht="15.75" customHeight="1" s="36">
      <c r="A520" s="31" t="inlineStr">
        <is>
          <t>山药排骨汤</t>
        </is>
      </c>
      <c r="B520" s="31" t="inlineStr">
        <is>
          <t>排骨, 山药, 莲子, 枸杞, Spring onion, 米酒</t>
        </is>
      </c>
      <c r="C520" s="17" t="inlineStr">
        <is>
          <t>Dinner</t>
        </is>
      </c>
      <c r="D520" s="26" t="inlineStr">
        <is>
          <t>Chinese</t>
        </is>
      </c>
      <c r="E520" s="17" t="inlineStr">
        <is>
          <t>High</t>
        </is>
      </c>
      <c r="F520" s="19" t="inlineStr">
        <is>
          <t>https://youtu.be/_5hbXruJixc?si=FCUyOpCQCRcIXp1J</t>
        </is>
      </c>
      <c r="G520" s="27">
        <f>IF(AND(ISNUMBER(SEARCH("Breakfast",$C520)),$D520="Asian"),RAND(),"")</f>
        <v/>
      </c>
      <c r="H520" s="27">
        <f>IF(AND(ISNUMBER(SEARCH("Breakfast",$C520)),$D520="Chinese"),RAND(),"")</f>
        <v/>
      </c>
      <c r="I520" s="27">
        <f>IF(AND(ISNUMBER(SEARCH("Breakfast",$C520)),$D520="Western"),RAND(),"")</f>
        <v/>
      </c>
      <c r="J520" s="27">
        <f>IF(AND(ISNUMBER(SEARCH("Lunch",$C520)),$D520="Asian"),RAND(),"")</f>
        <v/>
      </c>
      <c r="K520" s="27">
        <f>IF(AND(ISNUMBER(SEARCH("Lunch",$C520)),$D520="Chinese"),RAND(),"")</f>
        <v/>
      </c>
      <c r="L520" s="27">
        <f>IF(AND(ISNUMBER(SEARCH("Lunch",$C520)),$D520="Western"),RAND(),"")</f>
        <v/>
      </c>
      <c r="M520" s="27">
        <f>IF(AND(ISNUMBER(SEARCH("Dinner",$C520)),$D520="Asian"),RAND(),"")</f>
        <v/>
      </c>
      <c r="N520" s="27">
        <f>IF(AND(ISNUMBER(SEARCH("Dinner",$C520)),$D520="Chinese"),RAND(),"")</f>
        <v/>
      </c>
      <c r="O520" s="27">
        <f>IF(AND(ISNUMBER(SEARCH("Dinner",$C520)),$D520="Western"),RAND(),"")</f>
        <v/>
      </c>
      <c r="P520" s="0" t="b">
        <v>1</v>
      </c>
    </row>
    <row r="521" ht="15.75" customHeight="1" s="36">
      <c r="A521" s="32" t="inlineStr">
        <is>
          <t>山药排骨红枣汤</t>
        </is>
      </c>
      <c r="B521" s="32" t="inlineStr">
        <is>
          <t>山药, 一字排, Corn, Red Dates, Carrot</t>
        </is>
      </c>
      <c r="C521" s="21" t="inlineStr">
        <is>
          <t>Dinner</t>
        </is>
      </c>
      <c r="D521" s="26" t="inlineStr">
        <is>
          <t>Chinese</t>
        </is>
      </c>
      <c r="E521" s="21" t="inlineStr">
        <is>
          <t>High</t>
        </is>
      </c>
      <c r="F521" s="23" t="inlineStr">
        <is>
          <t>http://xhslink.com/a/cwQ33HeS9Pv2</t>
        </is>
      </c>
      <c r="G521" s="28">
        <f>IF(AND(ISNUMBER(SEARCH("Breakfast",$C521)),$D521="Asian"),RAND(),"")</f>
        <v/>
      </c>
      <c r="H521" s="28">
        <f>IF(AND(ISNUMBER(SEARCH("Breakfast",$C521)),$D521="Chinese"),RAND(),"")</f>
        <v/>
      </c>
      <c r="I521" s="28">
        <f>IF(AND(ISNUMBER(SEARCH("Breakfast",$C521)),$D521="Western"),RAND(),"")</f>
        <v/>
      </c>
      <c r="J521" s="28">
        <f>IF(AND(ISNUMBER(SEARCH("Lunch",$C521)),$D521="Asian"),RAND(),"")</f>
        <v/>
      </c>
      <c r="K521" s="28">
        <f>IF(AND(ISNUMBER(SEARCH("Lunch",$C521)),$D521="Chinese"),RAND(),"")</f>
        <v/>
      </c>
      <c r="L521" s="28">
        <f>IF(AND(ISNUMBER(SEARCH("Lunch",$C521)),$D521="Western"),RAND(),"")</f>
        <v/>
      </c>
      <c r="M521" s="28">
        <f>IF(AND(ISNUMBER(SEARCH("Dinner",$C521)),$D521="Asian"),RAND(),"")</f>
        <v/>
      </c>
      <c r="N521" s="28">
        <f>IF(AND(ISNUMBER(SEARCH("Dinner",$C521)),$D521="Chinese"),RAND(),"")</f>
        <v/>
      </c>
      <c r="O521" s="28">
        <f>IF(AND(ISNUMBER(SEARCH("Dinner",$C521)),$D521="Western"),RAND(),"")</f>
        <v/>
      </c>
      <c r="P521" s="0" t="b">
        <v>1</v>
      </c>
    </row>
    <row r="522" ht="15.75" customHeight="1" s="36">
      <c r="A522" s="31" t="inlineStr">
        <is>
          <t>当归猪肚猪脚汤</t>
        </is>
      </c>
      <c r="B522" s="31" t="inlineStr">
        <is>
          <t>猪前脚, 猪肚, 当归, 高汤, 米酒, 姜, 葱</t>
        </is>
      </c>
      <c r="C522" s="17" t="inlineStr">
        <is>
          <t>Dinner</t>
        </is>
      </c>
      <c r="D522" s="26" t="inlineStr">
        <is>
          <t>Chinese</t>
        </is>
      </c>
      <c r="E522" s="17" t="inlineStr">
        <is>
          <t>High</t>
        </is>
      </c>
      <c r="F522" s="19" t="inlineStr">
        <is>
          <t>https://icook.tw/recipes/453547?utm_source=copy&amp;utm_medium=sharev3&amp;utm_campaign=recipe-share</t>
        </is>
      </c>
      <c r="G522" s="27">
        <f>IF(AND(ISNUMBER(SEARCH("Breakfast",$C522)),$D522="Asian"),RAND(),"")</f>
        <v/>
      </c>
      <c r="H522" s="27">
        <f>IF(AND(ISNUMBER(SEARCH("Breakfast",$C522)),$D522="Chinese"),RAND(),"")</f>
        <v/>
      </c>
      <c r="I522" s="27">
        <f>IF(AND(ISNUMBER(SEARCH("Breakfast",$C522)),$D522="Western"),RAND(),"")</f>
        <v/>
      </c>
      <c r="J522" s="27">
        <f>IF(AND(ISNUMBER(SEARCH("Lunch",$C522)),$D522="Asian"),RAND(),"")</f>
        <v/>
      </c>
      <c r="K522" s="27">
        <f>IF(AND(ISNUMBER(SEARCH("Lunch",$C522)),$D522="Chinese"),RAND(),"")</f>
        <v/>
      </c>
      <c r="L522" s="27">
        <f>IF(AND(ISNUMBER(SEARCH("Lunch",$C522)),$D522="Western"),RAND(),"")</f>
        <v/>
      </c>
      <c r="M522" s="27">
        <f>IF(AND(ISNUMBER(SEARCH("Dinner",$C522)),$D522="Asian"),RAND(),"")</f>
        <v/>
      </c>
      <c r="N522" s="27">
        <f>IF(AND(ISNUMBER(SEARCH("Dinner",$C522)),$D522="Chinese"),RAND(),"")</f>
        <v/>
      </c>
      <c r="O522" s="27">
        <f>IF(AND(ISNUMBER(SEARCH("Dinner",$C522)),$D522="Western"),RAND(),"")</f>
        <v/>
      </c>
      <c r="P522" s="0" t="b">
        <v>1</v>
      </c>
    </row>
    <row r="523" ht="15.75" customHeight="1" s="36">
      <c r="A523" s="32" t="inlineStr">
        <is>
          <t>木瓜鸡脚花生汤</t>
        </is>
      </c>
      <c r="B523" s="22" t="inlineStr">
        <is>
          <t>Green Papaya, Chicken Feet, Chicken Bones, Peanuts, 眉豆, 陈皮, 金丝蜜枣</t>
        </is>
      </c>
      <c r="C523" s="21" t="inlineStr">
        <is>
          <t>Dinner</t>
        </is>
      </c>
      <c r="D523" s="26" t="inlineStr">
        <is>
          <t>Chinese</t>
        </is>
      </c>
      <c r="E523" s="21" t="inlineStr">
        <is>
          <t>High</t>
        </is>
      </c>
      <c r="F523" s="23" t="inlineStr">
        <is>
          <t>https://icook.tw/recipes/413234?utm_source=copy&amp;utm_medium=sharev3&amp;utm_campaign=recipe-share</t>
        </is>
      </c>
      <c r="G523" s="28">
        <f>IF(AND(ISNUMBER(SEARCH("Breakfast",$C523)),$D523="Asian"),RAND(),"")</f>
        <v/>
      </c>
      <c r="H523" s="28">
        <f>IF(AND(ISNUMBER(SEARCH("Breakfast",$C523)),$D523="Chinese"),RAND(),"")</f>
        <v/>
      </c>
      <c r="I523" s="28">
        <f>IF(AND(ISNUMBER(SEARCH("Breakfast",$C523)),$D523="Western"),RAND(),"")</f>
        <v/>
      </c>
      <c r="J523" s="28">
        <f>IF(AND(ISNUMBER(SEARCH("Lunch",$C523)),$D523="Asian"),RAND(),"")</f>
        <v/>
      </c>
      <c r="K523" s="28">
        <f>IF(AND(ISNUMBER(SEARCH("Lunch",$C523)),$D523="Chinese"),RAND(),"")</f>
        <v/>
      </c>
      <c r="L523" s="28">
        <f>IF(AND(ISNUMBER(SEARCH("Lunch",$C523)),$D523="Western"),RAND(),"")</f>
        <v/>
      </c>
      <c r="M523" s="28">
        <f>IF(AND(ISNUMBER(SEARCH("Dinner",$C523)),$D523="Asian"),RAND(),"")</f>
        <v/>
      </c>
      <c r="N523" s="28">
        <f>IF(AND(ISNUMBER(SEARCH("Dinner",$C523)),$D523="Chinese"),RAND(),"")</f>
        <v/>
      </c>
      <c r="O523" s="28">
        <f>IF(AND(ISNUMBER(SEARCH("Dinner",$C523)),$D523="Western"),RAND(),"")</f>
        <v/>
      </c>
      <c r="P523" s="0" t="b">
        <v>1</v>
      </c>
    </row>
    <row r="524" ht="15.75" customHeight="1" s="36">
      <c r="A524" s="31" t="inlineStr">
        <is>
          <t>板蒟蒻</t>
        </is>
      </c>
      <c r="B524" s="31" t="inlineStr">
        <is>
          <t>板蒟蒻, white vinegar, sesame oil, salt, black pepper, spring onion</t>
        </is>
      </c>
      <c r="C524" s="17" t="inlineStr">
        <is>
          <t>Dinner</t>
        </is>
      </c>
      <c r="D524" s="26" t="inlineStr">
        <is>
          <t>Chinese</t>
        </is>
      </c>
      <c r="E524" s="17" t="inlineStr">
        <is>
          <t>High</t>
        </is>
      </c>
      <c r="F524" s="19" t="inlineStr">
        <is>
          <t>https://www.instagram.com/reel/DQRZTtHkzu2/?igsh=MThkY2hicTAxeWg1aQ==</t>
        </is>
      </c>
      <c r="G524" s="27">
        <f>IF(AND(ISNUMBER(SEARCH("Breakfast",$C524)),$D524="Asian"),RAND(),"")</f>
        <v/>
      </c>
      <c r="H524" s="27">
        <f>IF(AND(ISNUMBER(SEARCH("Breakfast",$C524)),$D524="Chinese"),RAND(),"")</f>
        <v/>
      </c>
      <c r="I524" s="27">
        <f>IF(AND(ISNUMBER(SEARCH("Breakfast",$C524)),$D524="Western"),RAND(),"")</f>
        <v/>
      </c>
      <c r="J524" s="27">
        <f>IF(AND(ISNUMBER(SEARCH("Lunch",$C524)),$D524="Asian"),RAND(),"")</f>
        <v/>
      </c>
      <c r="K524" s="27">
        <f>IF(AND(ISNUMBER(SEARCH("Lunch",$C524)),$D524="Chinese"),RAND(),"")</f>
        <v/>
      </c>
      <c r="L524" s="27">
        <f>IF(AND(ISNUMBER(SEARCH("Lunch",$C524)),$D524="Western"),RAND(),"")</f>
        <v/>
      </c>
      <c r="M524" s="27">
        <f>IF(AND(ISNUMBER(SEARCH("Dinner",$C524)),$D524="Asian"),RAND(),"")</f>
        <v/>
      </c>
      <c r="N524" s="27">
        <f>IF(AND(ISNUMBER(SEARCH("Dinner",$C524)),$D524="Chinese"),RAND(),"")</f>
        <v/>
      </c>
      <c r="O524" s="27">
        <f>IF(AND(ISNUMBER(SEARCH("Dinner",$C524)),$D524="Western"),RAND(),"")</f>
        <v/>
      </c>
    </row>
    <row r="525" ht="15.75" customHeight="1" s="36">
      <c r="A525" s="32" t="inlineStr">
        <is>
          <t>梅花排骨</t>
        </is>
      </c>
      <c r="B525" s="32" t="inlineStr">
        <is>
          <t>山药, corn, carrot, Daikon, Salt</t>
        </is>
      </c>
      <c r="C525" s="21" t="inlineStr">
        <is>
          <t>Dinner</t>
        </is>
      </c>
      <c r="D525" s="26" t="inlineStr">
        <is>
          <t>Chinese</t>
        </is>
      </c>
      <c r="E525" s="21" t="inlineStr">
        <is>
          <t>High</t>
        </is>
      </c>
      <c r="F525" s="23" t="inlineStr">
        <is>
          <t>https://icook.tw/recipes/325026?utm_source=copy&amp;utm_medium=sharev3&amp;utm_campaign=recipe-share</t>
        </is>
      </c>
      <c r="G525" s="28">
        <f>IF(AND(ISNUMBER(SEARCH("Breakfast",$C525)),$D525="Asian"),RAND(),"")</f>
        <v/>
      </c>
      <c r="H525" s="28">
        <f>IF(AND(ISNUMBER(SEARCH("Breakfast",$C525)),$D525="Chinese"),RAND(),"")</f>
        <v/>
      </c>
      <c r="I525" s="28">
        <f>IF(AND(ISNUMBER(SEARCH("Breakfast",$C525)),$D525="Western"),RAND(),"")</f>
        <v/>
      </c>
      <c r="J525" s="28">
        <f>IF(AND(ISNUMBER(SEARCH("Lunch",$C525)),$D525="Asian"),RAND(),"")</f>
        <v/>
      </c>
      <c r="K525" s="28">
        <f>IF(AND(ISNUMBER(SEARCH("Lunch",$C525)),$D525="Chinese"),RAND(),"")</f>
        <v/>
      </c>
      <c r="L525" s="28">
        <f>IF(AND(ISNUMBER(SEARCH("Lunch",$C525)),$D525="Western"),RAND(),"")</f>
        <v/>
      </c>
      <c r="M525" s="28">
        <f>IF(AND(ISNUMBER(SEARCH("Dinner",$C525)),$D525="Asian"),RAND(),"")</f>
        <v/>
      </c>
      <c r="N525" s="28">
        <f>IF(AND(ISNUMBER(SEARCH("Dinner",$C525)),$D525="Chinese"),RAND(),"")</f>
        <v/>
      </c>
      <c r="O525" s="28">
        <f>IF(AND(ISNUMBER(SEARCH("Dinner",$C525)),$D525="Western"),RAND(),"")</f>
        <v/>
      </c>
    </row>
    <row r="526" ht="15.75" customHeight="1" s="36">
      <c r="A526" s="31" t="inlineStr">
        <is>
          <t>椒鹽檸檬蝦</t>
        </is>
      </c>
      <c r="B526" s="18" t="inlineStr">
        <is>
          <t>Garlic, Spring onion, lemon, Prawns</t>
        </is>
      </c>
      <c r="C526" s="17" t="inlineStr">
        <is>
          <t>Dinner</t>
        </is>
      </c>
      <c r="D526" s="26" t="inlineStr">
        <is>
          <t>Chinese</t>
        </is>
      </c>
      <c r="E526" s="17" t="inlineStr">
        <is>
          <t>High</t>
        </is>
      </c>
      <c r="F526" s="19" t="inlineStr">
        <is>
          <t>https://icook.tw/recipes/388666?utm_source=copy&amp;utm_medium=sharev3&amp;utm_campaign=recipe-share</t>
        </is>
      </c>
      <c r="G526" s="27">
        <f>IF(AND(ISNUMBER(SEARCH("Breakfast",$C526)),$D526="Asian"),RAND(),"")</f>
        <v/>
      </c>
      <c r="H526" s="27">
        <f>IF(AND(ISNUMBER(SEARCH("Breakfast",$C526)),$D526="Chinese"),RAND(),"")</f>
        <v/>
      </c>
      <c r="I526" s="27">
        <f>IF(AND(ISNUMBER(SEARCH("Breakfast",$C526)),$D526="Western"),RAND(),"")</f>
        <v/>
      </c>
      <c r="J526" s="27">
        <f>IF(AND(ISNUMBER(SEARCH("Lunch",$C526)),$D526="Asian"),RAND(),"")</f>
        <v/>
      </c>
      <c r="K526" s="27">
        <f>IF(AND(ISNUMBER(SEARCH("Lunch",$C526)),$D526="Chinese"),RAND(),"")</f>
        <v/>
      </c>
      <c r="L526" s="27">
        <f>IF(AND(ISNUMBER(SEARCH("Lunch",$C526)),$D526="Western"),RAND(),"")</f>
        <v/>
      </c>
      <c r="M526" s="27">
        <f>IF(AND(ISNUMBER(SEARCH("Dinner",$C526)),$D526="Asian"),RAND(),"")</f>
        <v/>
      </c>
      <c r="N526" s="27">
        <f>IF(AND(ISNUMBER(SEARCH("Dinner",$C526)),$D526="Chinese"),RAND(),"")</f>
        <v/>
      </c>
      <c r="O526" s="27">
        <f>IF(AND(ISNUMBER(SEARCH("Dinner",$C526)),$D526="Western"),RAND(),"")</f>
        <v/>
      </c>
    </row>
    <row r="527" ht="15.75" customHeight="1" s="36">
      <c r="A527" s="32" t="inlineStr">
        <is>
          <t>泰式凉拌薄荷肉</t>
        </is>
      </c>
      <c r="B527" s="22" t="inlineStr">
        <is>
          <t>Minced Meat, Lettuce, Mint, Red Onion, Green Onion, Coriander, Lemon, Fish sauce</t>
        </is>
      </c>
      <c r="C527" s="21" t="inlineStr">
        <is>
          <t>Dinner</t>
        </is>
      </c>
      <c r="D527" s="26" t="inlineStr">
        <is>
          <t>Chinese</t>
        </is>
      </c>
      <c r="E527" s="21" t="inlineStr">
        <is>
          <t>High</t>
        </is>
      </c>
      <c r="F527" s="23" t="inlineStr">
        <is>
          <t>https://icook.tw/recipes/474832?utm_source=copy&amp;utm_medium=sharev3&amp;utm_campaign=recipe-share</t>
        </is>
      </c>
      <c r="G527" s="28">
        <f>IF(AND(ISNUMBER(SEARCH("Breakfast",$C527)),$D527="Asian"),RAND(),"")</f>
        <v/>
      </c>
      <c r="H527" s="28">
        <f>IF(AND(ISNUMBER(SEARCH("Breakfast",$C527)),$D527="Chinese"),RAND(),"")</f>
        <v/>
      </c>
      <c r="I527" s="28">
        <f>IF(AND(ISNUMBER(SEARCH("Breakfast",$C527)),$D527="Western"),RAND(),"")</f>
        <v/>
      </c>
      <c r="J527" s="28">
        <f>IF(AND(ISNUMBER(SEARCH("Lunch",$C527)),$D527="Asian"),RAND(),"")</f>
        <v/>
      </c>
      <c r="K527" s="28">
        <f>IF(AND(ISNUMBER(SEARCH("Lunch",$C527)),$D527="Chinese"),RAND(),"")</f>
        <v/>
      </c>
      <c r="L527" s="28">
        <f>IF(AND(ISNUMBER(SEARCH("Lunch",$C527)),$D527="Western"),RAND(),"")</f>
        <v/>
      </c>
      <c r="M527" s="28">
        <f>IF(AND(ISNUMBER(SEARCH("Dinner",$C527)),$D527="Asian"),RAND(),"")</f>
        <v/>
      </c>
      <c r="N527" s="28">
        <f>IF(AND(ISNUMBER(SEARCH("Dinner",$C527)),$D527="Chinese"),RAND(),"")</f>
        <v/>
      </c>
      <c r="O527" s="28">
        <f>IF(AND(ISNUMBER(SEARCH("Dinner",$C527)),$D527="Western"),RAND(),"")</f>
        <v/>
      </c>
    </row>
    <row r="528" ht="15.75" customHeight="1" s="36">
      <c r="A528" s="31" t="inlineStr">
        <is>
          <t>清湯牛腩</t>
        </is>
      </c>
      <c r="B528" s="31" t="inlineStr">
        <is>
          <t>牛腩, 蘿蔔, white pepper, Bay leaf, Star Anise, Chicken Stock, Ginger, Garlic, Rock Sugar</t>
        </is>
      </c>
      <c r="C528" s="17" t="inlineStr">
        <is>
          <t>Dinner</t>
        </is>
      </c>
      <c r="D528" s="26" t="inlineStr">
        <is>
          <t>Chinese</t>
        </is>
      </c>
      <c r="E528" s="17" t="inlineStr">
        <is>
          <t>High</t>
        </is>
      </c>
      <c r="F528" s="19" t="inlineStr">
        <is>
          <t>https://icook.tw/recipes/478154?utm_source=copy&amp;utm_medium=sharev3&amp;utm_campaign=recipe-share</t>
        </is>
      </c>
      <c r="G528" s="27">
        <f>IF(AND(ISNUMBER(SEARCH("Breakfast",$C528)),$D528="Asian"),RAND(),"")</f>
        <v/>
      </c>
      <c r="H528" s="27">
        <f>IF(AND(ISNUMBER(SEARCH("Breakfast",$C528)),$D528="Chinese"),RAND(),"")</f>
        <v/>
      </c>
      <c r="I528" s="27">
        <f>IF(AND(ISNUMBER(SEARCH("Breakfast",$C528)),$D528="Western"),RAND(),"")</f>
        <v/>
      </c>
      <c r="J528" s="27">
        <f>IF(AND(ISNUMBER(SEARCH("Lunch",$C528)),$D528="Asian"),RAND(),"")</f>
        <v/>
      </c>
      <c r="K528" s="27">
        <f>IF(AND(ISNUMBER(SEARCH("Lunch",$C528)),$D528="Chinese"),RAND(),"")</f>
        <v/>
      </c>
      <c r="L528" s="27">
        <f>IF(AND(ISNUMBER(SEARCH("Lunch",$C528)),$D528="Western"),RAND(),"")</f>
        <v/>
      </c>
      <c r="M528" s="27">
        <f>IF(AND(ISNUMBER(SEARCH("Dinner",$C528)),$D528="Asian"),RAND(),"")</f>
        <v/>
      </c>
      <c r="N528" s="27">
        <f>IF(AND(ISNUMBER(SEARCH("Dinner",$C528)),$D528="Chinese"),RAND(),"")</f>
        <v/>
      </c>
      <c r="O528" s="27">
        <f>IF(AND(ISNUMBER(SEARCH("Dinner",$C528)),$D528="Western"),RAND(),"")</f>
        <v/>
      </c>
      <c r="P528" s="0" t="b">
        <v>1</v>
      </c>
    </row>
    <row r="529" ht="15.75" customHeight="1" s="36">
      <c r="A529" s="32" t="inlineStr">
        <is>
          <t>潮州鱼头炉</t>
        </is>
      </c>
      <c r="B529" s="32" t="inlineStr">
        <is>
          <t>石斑鱼, Tofu, Tomato, Yam, Seaweed, 白菜, Coriander, Spring Onion, Ginger, 当归, 水梅, 枸杞, 花雕酒, milk, Fish Sauce, Spinach</t>
        </is>
      </c>
      <c r="C529" s="21" t="inlineStr">
        <is>
          <t>Dinner</t>
        </is>
      </c>
      <c r="D529" s="26" t="inlineStr">
        <is>
          <t>Chinese</t>
        </is>
      </c>
      <c r="E529" s="21" t="inlineStr">
        <is>
          <t>High</t>
        </is>
      </c>
      <c r="F529" s="23" t="inlineStr">
        <is>
          <t>https://icook.tw/recipes/236404?utm_source=copy&amp;utm_medium=sharev3&amp;utm_campaign=recipe-share</t>
        </is>
      </c>
      <c r="G529" s="28">
        <f>IF(AND(ISNUMBER(SEARCH("Breakfast",$C529)),$D529="Asian"),RAND(),"")</f>
        <v/>
      </c>
      <c r="H529" s="28">
        <f>IF(AND(ISNUMBER(SEARCH("Breakfast",$C529)),$D529="Chinese"),RAND(),"")</f>
        <v/>
      </c>
      <c r="I529" s="28">
        <f>IF(AND(ISNUMBER(SEARCH("Breakfast",$C529)),$D529="Western"),RAND(),"")</f>
        <v/>
      </c>
      <c r="J529" s="28">
        <f>IF(AND(ISNUMBER(SEARCH("Lunch",$C529)),$D529="Asian"),RAND(),"")</f>
        <v/>
      </c>
      <c r="K529" s="28">
        <f>IF(AND(ISNUMBER(SEARCH("Lunch",$C529)),$D529="Chinese"),RAND(),"")</f>
        <v/>
      </c>
      <c r="L529" s="28">
        <f>IF(AND(ISNUMBER(SEARCH("Lunch",$C529)),$D529="Western"),RAND(),"")</f>
        <v/>
      </c>
      <c r="M529" s="28">
        <f>IF(AND(ISNUMBER(SEARCH("Dinner",$C529)),$D529="Asian"),RAND(),"")</f>
        <v/>
      </c>
      <c r="N529" s="28">
        <f>IF(AND(ISNUMBER(SEARCH("Dinner",$C529)),$D529="Chinese"),RAND(),"")</f>
        <v/>
      </c>
      <c r="O529" s="28">
        <f>IF(AND(ISNUMBER(SEARCH("Dinner",$C529)),$D529="Western"),RAND(),"")</f>
        <v/>
      </c>
    </row>
    <row r="530" ht="15.75" customHeight="1" s="36">
      <c r="A530" s="31" t="inlineStr">
        <is>
          <t>炒胡瓜絲</t>
        </is>
      </c>
      <c r="B530" s="18" t="inlineStr">
        <is>
          <t>—</t>
        </is>
      </c>
      <c r="C530" s="17" t="inlineStr">
        <is>
          <t>Dinner</t>
        </is>
      </c>
      <c r="D530" s="26" t="inlineStr">
        <is>
          <t>Chinese</t>
        </is>
      </c>
      <c r="E530" s="17" t="inlineStr">
        <is>
          <t>High</t>
        </is>
      </c>
      <c r="F530" s="18" t="n"/>
      <c r="G530" s="27">
        <f>IF(AND(ISNUMBER(SEARCH("Breakfast",$C530)),$D530="Asian"),RAND(),"")</f>
        <v/>
      </c>
      <c r="H530" s="27">
        <f>IF(AND(ISNUMBER(SEARCH("Breakfast",$C530)),$D530="Chinese"),RAND(),"")</f>
        <v/>
      </c>
      <c r="I530" s="27">
        <f>IF(AND(ISNUMBER(SEARCH("Breakfast",$C530)),$D530="Western"),RAND(),"")</f>
        <v/>
      </c>
      <c r="J530" s="27">
        <f>IF(AND(ISNUMBER(SEARCH("Lunch",$C530)),$D530="Asian"),RAND(),"")</f>
        <v/>
      </c>
      <c r="K530" s="27">
        <f>IF(AND(ISNUMBER(SEARCH("Lunch",$C530)),$D530="Chinese"),RAND(),"")</f>
        <v/>
      </c>
      <c r="L530" s="27">
        <f>IF(AND(ISNUMBER(SEARCH("Lunch",$C530)),$D530="Western"),RAND(),"")</f>
        <v/>
      </c>
      <c r="M530" s="27">
        <f>IF(AND(ISNUMBER(SEARCH("Dinner",$C530)),$D530="Asian"),RAND(),"")</f>
        <v/>
      </c>
      <c r="N530" s="27">
        <f>IF(AND(ISNUMBER(SEARCH("Dinner",$C530)),$D530="Chinese"),RAND(),"")</f>
        <v/>
      </c>
      <c r="O530" s="27">
        <f>IF(AND(ISNUMBER(SEARCH("Dinner",$C530)),$D530="Western"),RAND(),"")</f>
        <v/>
      </c>
    </row>
    <row r="531" ht="15.75" customHeight="1" s="36">
      <c r="A531" s="32" t="inlineStr">
        <is>
          <t>炒麦片</t>
        </is>
      </c>
      <c r="B531" s="22" t="inlineStr">
        <is>
          <t>oats, Curry Leaves, butter, Salted Egg Yolk, Sugar</t>
        </is>
      </c>
      <c r="C531" s="21" t="inlineStr">
        <is>
          <t>Lunch</t>
        </is>
      </c>
      <c r="D531" s="26" t="inlineStr">
        <is>
          <t>Chinese</t>
        </is>
      </c>
      <c r="E531" s="21" t="inlineStr">
        <is>
          <t>High</t>
        </is>
      </c>
      <c r="F531" s="23" t="inlineStr">
        <is>
          <t>https://icook.tw/recipes/228740?utm_source=copy&amp;utm_medium=sharev3&amp;utm_campaign=recipe-share</t>
        </is>
      </c>
      <c r="G531" s="28">
        <f>IF(AND(ISNUMBER(SEARCH("Breakfast",$C531)),$D531="Asian"),RAND(),"")</f>
        <v/>
      </c>
      <c r="H531" s="28">
        <f>IF(AND(ISNUMBER(SEARCH("Breakfast",$C531)),$D531="Chinese"),RAND(),"")</f>
        <v/>
      </c>
      <c r="I531" s="28">
        <f>IF(AND(ISNUMBER(SEARCH("Breakfast",$C531)),$D531="Western"),RAND(),"")</f>
        <v/>
      </c>
      <c r="J531" s="28">
        <f>IF(AND(ISNUMBER(SEARCH("Lunch",$C531)),$D531="Asian"),RAND(),"")</f>
        <v/>
      </c>
      <c r="K531" s="28">
        <f>IF(AND(ISNUMBER(SEARCH("Lunch",$C531)),$D531="Chinese"),RAND(),"")</f>
        <v/>
      </c>
      <c r="L531" s="28">
        <f>IF(AND(ISNUMBER(SEARCH("Lunch",$C531)),$D531="Western"),RAND(),"")</f>
        <v/>
      </c>
      <c r="M531" s="28">
        <f>IF(AND(ISNUMBER(SEARCH("Dinner",$C531)),$D531="Asian"),RAND(),"")</f>
        <v/>
      </c>
      <c r="N531" s="28">
        <f>IF(AND(ISNUMBER(SEARCH("Dinner",$C531)),$D531="Chinese"),RAND(),"")</f>
        <v/>
      </c>
      <c r="O531" s="28">
        <f>IF(AND(ISNUMBER(SEARCH("Dinner",$C531)),$D531="Western"),RAND(),"")</f>
        <v/>
      </c>
    </row>
    <row r="532" ht="15.75" customHeight="1" s="36">
      <c r="A532" s="31" t="inlineStr">
        <is>
          <t>生姜番薯汤</t>
        </is>
      </c>
      <c r="B532" s="31" t="inlineStr">
        <is>
          <t>红薯, 生姜, 红枣</t>
        </is>
      </c>
      <c r="C532" s="17" t="inlineStr">
        <is>
          <t>Breakfast</t>
        </is>
      </c>
      <c r="D532" s="26" t="inlineStr">
        <is>
          <t>Chinese</t>
        </is>
      </c>
      <c r="E532" s="17" t="inlineStr">
        <is>
          <t>High</t>
        </is>
      </c>
      <c r="F532" s="19" t="inlineStr">
        <is>
          <t>http://health.people.com.cn/n1/2019/1217/c14739-31509193.html#:~:text=%E6%9D%90%E6%96%99%EF%BC%9A%E7%BA%A2%E8%96%AF200g%E3%80%81%E7%94%9F%E5%A7%9C15g,%E5%BE%88%E5%AE%B9%E6%98%93%E5%AF%BC%E8%87%B4%E9%A3%8E%E5%AF%92%E6%84%9F%E5%86%92%E3%80%82</t>
        </is>
      </c>
      <c r="G532" s="27">
        <f>IF(AND(ISNUMBER(SEARCH("Breakfast",$C532)),$D532="Asian"),RAND(),"")</f>
        <v/>
      </c>
      <c r="H532" s="27">
        <f>IF(AND(ISNUMBER(SEARCH("Breakfast",$C532)),$D532="Chinese"),RAND(),"")</f>
        <v/>
      </c>
      <c r="I532" s="27">
        <f>IF(AND(ISNUMBER(SEARCH("Breakfast",$C532)),$D532="Western"),RAND(),"")</f>
        <v/>
      </c>
      <c r="J532" s="27">
        <f>IF(AND(ISNUMBER(SEARCH("Lunch",$C532)),$D532="Asian"),RAND(),"")</f>
        <v/>
      </c>
      <c r="K532" s="27">
        <f>IF(AND(ISNUMBER(SEARCH("Lunch",$C532)),$D532="Chinese"),RAND(),"")</f>
        <v/>
      </c>
      <c r="L532" s="27">
        <f>IF(AND(ISNUMBER(SEARCH("Lunch",$C532)),$D532="Western"),RAND(),"")</f>
        <v/>
      </c>
      <c r="M532" s="27">
        <f>IF(AND(ISNUMBER(SEARCH("Dinner",$C532)),$D532="Asian"),RAND(),"")</f>
        <v/>
      </c>
      <c r="N532" s="27">
        <f>IF(AND(ISNUMBER(SEARCH("Dinner",$C532)),$D532="Chinese"),RAND(),"")</f>
        <v/>
      </c>
      <c r="O532" s="27">
        <f>IF(AND(ISNUMBER(SEARCH("Dinner",$C532)),$D532="Western"),RAND(),"")</f>
        <v/>
      </c>
      <c r="P532" s="0" t="b">
        <v>1</v>
      </c>
    </row>
    <row r="533" ht="15.75" customHeight="1" s="36">
      <c r="A533" s="32" t="inlineStr">
        <is>
          <t>白胡椒鸡汤</t>
        </is>
      </c>
      <c r="B533" s="22" t="inlineStr">
        <is>
          <t>White pepper corn, Garlic, Dong gu, Clams, Chicken thighs, Ginger, Goji berry</t>
        </is>
      </c>
      <c r="C533" s="21" t="inlineStr">
        <is>
          <t>Dinner</t>
        </is>
      </c>
      <c r="D533" s="26" t="inlineStr">
        <is>
          <t>Chinese</t>
        </is>
      </c>
      <c r="E533" s="21" t="inlineStr">
        <is>
          <t>High</t>
        </is>
      </c>
      <c r="F533" s="23" t="inlineStr">
        <is>
          <t>https://youtu.be/BGrHgvAr5x4</t>
        </is>
      </c>
      <c r="G533" s="28">
        <f>IF(AND(ISNUMBER(SEARCH("Breakfast",$C533)),$D533="Asian"),RAND(),"")</f>
        <v/>
      </c>
      <c r="H533" s="28">
        <f>IF(AND(ISNUMBER(SEARCH("Breakfast",$C533)),$D533="Chinese"),RAND(),"")</f>
        <v/>
      </c>
      <c r="I533" s="28">
        <f>IF(AND(ISNUMBER(SEARCH("Breakfast",$C533)),$D533="Western"),RAND(),"")</f>
        <v/>
      </c>
      <c r="J533" s="28">
        <f>IF(AND(ISNUMBER(SEARCH("Lunch",$C533)),$D533="Asian"),RAND(),"")</f>
        <v/>
      </c>
      <c r="K533" s="28">
        <f>IF(AND(ISNUMBER(SEARCH("Lunch",$C533)),$D533="Chinese"),RAND(),"")</f>
        <v/>
      </c>
      <c r="L533" s="28">
        <f>IF(AND(ISNUMBER(SEARCH("Lunch",$C533)),$D533="Western"),RAND(),"")</f>
        <v/>
      </c>
      <c r="M533" s="28">
        <f>IF(AND(ISNUMBER(SEARCH("Dinner",$C533)),$D533="Asian"),RAND(),"")</f>
        <v/>
      </c>
      <c r="N533" s="28">
        <f>IF(AND(ISNUMBER(SEARCH("Dinner",$C533)),$D533="Chinese"),RAND(),"")</f>
        <v/>
      </c>
      <c r="O533" s="28">
        <f>IF(AND(ISNUMBER(SEARCH("Dinner",$C533)),$D533="Western"),RAND(),"")</f>
        <v/>
      </c>
      <c r="P533" s="0" t="b">
        <v>1</v>
      </c>
    </row>
    <row r="534" ht="15.75" customHeight="1" s="36">
      <c r="A534" s="31" t="inlineStr">
        <is>
          <t>空心菜</t>
        </is>
      </c>
      <c r="B534" s="31" t="inlineStr">
        <is>
          <t>豆腐乳, Ginger</t>
        </is>
      </c>
      <c r="C534" s="17" t="inlineStr">
        <is>
          <t>Dinner</t>
        </is>
      </c>
      <c r="D534" s="26" t="inlineStr">
        <is>
          <t>Chinese</t>
        </is>
      </c>
      <c r="E534" s="17" t="inlineStr">
        <is>
          <t>High</t>
        </is>
      </c>
      <c r="F534" s="19" t="inlineStr">
        <is>
          <t>https://www.instagram.com/reel/DRjsHRICeNL/?igsh=MThwd3F1cjV0cDB4aQ==</t>
        </is>
      </c>
      <c r="G534" s="27">
        <f>IF(AND(ISNUMBER(SEARCH("Breakfast",$C534)),$D534="Asian"),RAND(),"")</f>
        <v/>
      </c>
      <c r="H534" s="27">
        <f>IF(AND(ISNUMBER(SEARCH("Breakfast",$C534)),$D534="Chinese"),RAND(),"")</f>
        <v/>
      </c>
      <c r="I534" s="27">
        <f>IF(AND(ISNUMBER(SEARCH("Breakfast",$C534)),$D534="Western"),RAND(),"")</f>
        <v/>
      </c>
      <c r="J534" s="27">
        <f>IF(AND(ISNUMBER(SEARCH("Lunch",$C534)),$D534="Asian"),RAND(),"")</f>
        <v/>
      </c>
      <c r="K534" s="27">
        <f>IF(AND(ISNUMBER(SEARCH("Lunch",$C534)),$D534="Chinese"),RAND(),"")</f>
        <v/>
      </c>
      <c r="L534" s="27">
        <f>IF(AND(ISNUMBER(SEARCH("Lunch",$C534)),$D534="Western"),RAND(),"")</f>
        <v/>
      </c>
      <c r="M534" s="27">
        <f>IF(AND(ISNUMBER(SEARCH("Dinner",$C534)),$D534="Asian"),RAND(),"")</f>
        <v/>
      </c>
      <c r="N534" s="27">
        <f>IF(AND(ISNUMBER(SEARCH("Dinner",$C534)),$D534="Chinese"),RAND(),"")</f>
        <v/>
      </c>
      <c r="O534" s="27">
        <f>IF(AND(ISNUMBER(SEARCH("Dinner",$C534)),$D534="Western"),RAND(),"")</f>
        <v/>
      </c>
    </row>
    <row r="535" ht="15.75" customHeight="1" s="36">
      <c r="A535" s="32" t="inlineStr">
        <is>
          <t>简单凉拌山茼蒿 (春菊)</t>
        </is>
      </c>
      <c r="B535" s="32" t="inlineStr">
        <is>
          <t>山茼蒿, Mirin, Sesame Seed</t>
        </is>
      </c>
      <c r="C535" s="21" t="inlineStr">
        <is>
          <t>Dinner</t>
        </is>
      </c>
      <c r="D535" s="26" t="inlineStr">
        <is>
          <t>Chinese</t>
        </is>
      </c>
      <c r="E535" s="21" t="inlineStr">
        <is>
          <t>Med</t>
        </is>
      </c>
      <c r="F535" s="23" t="inlineStr">
        <is>
          <t>https://icook.tw/recipes/173683?utm_source=copy&amp;utm_medium=sharev3&amp;utm_campaign=recipe-share</t>
        </is>
      </c>
      <c r="G535" s="28">
        <f>IF(AND(ISNUMBER(SEARCH("Breakfast",$C535)),$D535="Asian"),RAND(),"")</f>
        <v/>
      </c>
      <c r="H535" s="28">
        <f>IF(AND(ISNUMBER(SEARCH("Breakfast",$C535)),$D535="Chinese"),RAND(),"")</f>
        <v/>
      </c>
      <c r="I535" s="28">
        <f>IF(AND(ISNUMBER(SEARCH("Breakfast",$C535)),$D535="Western"),RAND(),"")</f>
        <v/>
      </c>
      <c r="J535" s="28">
        <f>IF(AND(ISNUMBER(SEARCH("Lunch",$C535)),$D535="Asian"),RAND(),"")</f>
        <v/>
      </c>
      <c r="K535" s="28">
        <f>IF(AND(ISNUMBER(SEARCH("Lunch",$C535)),$D535="Chinese"),RAND(),"")</f>
        <v/>
      </c>
      <c r="L535" s="28">
        <f>IF(AND(ISNUMBER(SEARCH("Lunch",$C535)),$D535="Western"),RAND(),"")</f>
        <v/>
      </c>
      <c r="M535" s="28">
        <f>IF(AND(ISNUMBER(SEARCH("Dinner",$C535)),$D535="Asian"),RAND(),"")</f>
        <v/>
      </c>
      <c r="N535" s="28">
        <f>IF(AND(ISNUMBER(SEARCH("Dinner",$C535)),$D535="Chinese"),RAND(),"")</f>
        <v/>
      </c>
      <c r="O535" s="28">
        <f>IF(AND(ISNUMBER(SEARCH("Dinner",$C535)),$D535="Western"),RAND(),"")</f>
        <v/>
      </c>
    </row>
    <row r="536" ht="15.75" customHeight="1" s="36">
      <c r="A536" s="31" t="inlineStr">
        <is>
          <t>羊肚菌酿墨鱼滑</t>
        </is>
      </c>
      <c r="B536" s="31" t="inlineStr">
        <is>
          <t>墨鱼滑, 羊肚菌, Bell Pepper, White Pepper, Sesame Oil, Starch, Oyster sauce, Spring Onion</t>
        </is>
      </c>
      <c r="C536" s="17" t="inlineStr">
        <is>
          <t>Dinner</t>
        </is>
      </c>
      <c r="D536" s="26" t="inlineStr">
        <is>
          <t>Chinese</t>
        </is>
      </c>
      <c r="E536" s="17" t="inlineStr">
        <is>
          <t>High</t>
        </is>
      </c>
      <c r="F536" s="19" t="inlineStr">
        <is>
          <t>https://icook.tw/recipes/410494?utm_source=copy&amp;utm_medium=sharev3&amp;utm_campaign=recipe-share</t>
        </is>
      </c>
      <c r="G536" s="27">
        <f>IF(AND(ISNUMBER(SEARCH("Breakfast",$C536)),$D536="Asian"),RAND(),"")</f>
        <v/>
      </c>
      <c r="H536" s="27">
        <f>IF(AND(ISNUMBER(SEARCH("Breakfast",$C536)),$D536="Chinese"),RAND(),"")</f>
        <v/>
      </c>
      <c r="I536" s="27">
        <f>IF(AND(ISNUMBER(SEARCH("Breakfast",$C536)),$D536="Western"),RAND(),"")</f>
        <v/>
      </c>
      <c r="J536" s="27">
        <f>IF(AND(ISNUMBER(SEARCH("Lunch",$C536)),$D536="Asian"),RAND(),"")</f>
        <v/>
      </c>
      <c r="K536" s="27">
        <f>IF(AND(ISNUMBER(SEARCH("Lunch",$C536)),$D536="Chinese"),RAND(),"")</f>
        <v/>
      </c>
      <c r="L536" s="27">
        <f>IF(AND(ISNUMBER(SEARCH("Lunch",$C536)),$D536="Western"),RAND(),"")</f>
        <v/>
      </c>
      <c r="M536" s="27">
        <f>IF(AND(ISNUMBER(SEARCH("Dinner",$C536)),$D536="Asian"),RAND(),"")</f>
        <v/>
      </c>
      <c r="N536" s="27">
        <f>IF(AND(ISNUMBER(SEARCH("Dinner",$C536)),$D536="Chinese"),RAND(),"")</f>
        <v/>
      </c>
      <c r="O536" s="27">
        <f>IF(AND(ISNUMBER(SEARCH("Dinner",$C536)),$D536="Western"),RAND(),"")</f>
        <v/>
      </c>
    </row>
    <row r="537" ht="15.75" customHeight="1" s="36">
      <c r="A537" s="32" t="inlineStr">
        <is>
          <t>花甲</t>
        </is>
      </c>
      <c r="B537" s="22" t="inlineStr">
        <is>
          <t>Sake, Mirin, Soya sauce, Butter</t>
        </is>
      </c>
      <c r="C537" s="21" t="inlineStr">
        <is>
          <t>Dinner</t>
        </is>
      </c>
      <c r="D537" s="29" t="inlineStr">
        <is>
          <t>Asian</t>
        </is>
      </c>
      <c r="E537" s="21" t="inlineStr">
        <is>
          <t>Low</t>
        </is>
      </c>
      <c r="F537" s="23" t="inlineStr">
        <is>
          <t>https://icook.tw/recipes/325425?utm_source=copy&amp;utm_medium=sharev3&amp;utm_campaign=recipe-share</t>
        </is>
      </c>
      <c r="G537" s="28">
        <f>IF(AND(ISNUMBER(SEARCH("Breakfast",$C537)),$D537="Asian"),RAND(),"")</f>
        <v/>
      </c>
      <c r="H537" s="28">
        <f>IF(AND(ISNUMBER(SEARCH("Breakfast",$C537)),$D537="Chinese"),RAND(),"")</f>
        <v/>
      </c>
      <c r="I537" s="28">
        <f>IF(AND(ISNUMBER(SEARCH("Breakfast",$C537)),$D537="Western"),RAND(),"")</f>
        <v/>
      </c>
      <c r="J537" s="28">
        <f>IF(AND(ISNUMBER(SEARCH("Lunch",$C537)),$D537="Asian"),RAND(),"")</f>
        <v/>
      </c>
      <c r="K537" s="28">
        <f>IF(AND(ISNUMBER(SEARCH("Lunch",$C537)),$D537="Chinese"),RAND(),"")</f>
        <v/>
      </c>
      <c r="L537" s="28">
        <f>IF(AND(ISNUMBER(SEARCH("Lunch",$C537)),$D537="Western"),RAND(),"")</f>
        <v/>
      </c>
      <c r="M537" s="28">
        <f>IF(AND(ISNUMBER(SEARCH("Dinner",$C537)),$D537="Asian"),RAND(),"")</f>
        <v/>
      </c>
      <c r="N537" s="28">
        <f>IF(AND(ISNUMBER(SEARCH("Dinner",$C537)),$D537="Chinese"),RAND(),"")</f>
        <v/>
      </c>
      <c r="O537" s="28">
        <f>IF(AND(ISNUMBER(SEARCH("Dinner",$C537)),$D537="Western"),RAND(),"")</f>
        <v/>
      </c>
    </row>
    <row r="538" ht="15.75" customHeight="1" s="36">
      <c r="A538" s="31" t="inlineStr">
        <is>
          <t>莲藕红枣排骨汤</t>
        </is>
      </c>
      <c r="B538" s="31" t="inlineStr">
        <is>
          <t>排骨, 莲藕, 红枣, 枸杞, Green Onion</t>
        </is>
      </c>
      <c r="C538" s="17" t="inlineStr">
        <is>
          <t>Dinner</t>
        </is>
      </c>
      <c r="D538" s="26" t="inlineStr">
        <is>
          <t>Chinese</t>
        </is>
      </c>
      <c r="E538" s="17" t="inlineStr">
        <is>
          <t>High</t>
        </is>
      </c>
      <c r="F538" s="19" t="inlineStr">
        <is>
          <t>https://youtu.be/5A0iVZmfR3Q?si=hz9_etLyCoYzfXZS</t>
        </is>
      </c>
      <c r="G538" s="27">
        <f>IF(AND(ISNUMBER(SEARCH("Breakfast",$C538)),$D538="Asian"),RAND(),"")</f>
        <v/>
      </c>
      <c r="H538" s="27">
        <f>IF(AND(ISNUMBER(SEARCH("Breakfast",$C538)),$D538="Chinese"),RAND(),"")</f>
        <v/>
      </c>
      <c r="I538" s="27">
        <f>IF(AND(ISNUMBER(SEARCH("Breakfast",$C538)),$D538="Western"),RAND(),"")</f>
        <v/>
      </c>
      <c r="J538" s="27">
        <f>IF(AND(ISNUMBER(SEARCH("Lunch",$C538)),$D538="Asian"),RAND(),"")</f>
        <v/>
      </c>
      <c r="K538" s="27">
        <f>IF(AND(ISNUMBER(SEARCH("Lunch",$C538)),$D538="Chinese"),RAND(),"")</f>
        <v/>
      </c>
      <c r="L538" s="27">
        <f>IF(AND(ISNUMBER(SEARCH("Lunch",$C538)),$D538="Western"),RAND(),"")</f>
        <v/>
      </c>
      <c r="M538" s="27">
        <f>IF(AND(ISNUMBER(SEARCH("Dinner",$C538)),$D538="Asian"),RAND(),"")</f>
        <v/>
      </c>
      <c r="N538" s="27">
        <f>IF(AND(ISNUMBER(SEARCH("Dinner",$C538)),$D538="Chinese"),RAND(),"")</f>
        <v/>
      </c>
      <c r="O538" s="27">
        <f>IF(AND(ISNUMBER(SEARCH("Dinner",$C538)),$D538="Western"),RAND(),"")</f>
        <v/>
      </c>
      <c r="P538" s="0" t="b">
        <v>1</v>
      </c>
    </row>
    <row r="539" ht="15.75" customHeight="1" s="36">
      <c r="A539" s="32" t="inlineStr">
        <is>
          <t>蒜头玉米排骨汤</t>
        </is>
      </c>
      <c r="B539" s="32" t="inlineStr">
        <is>
          <t>排骨, Sweet corn, Garlic, Ginger, Carrot, Chicken bone</t>
        </is>
      </c>
      <c r="C539" s="21" t="inlineStr">
        <is>
          <t>Dinner</t>
        </is>
      </c>
      <c r="D539" s="26" t="inlineStr">
        <is>
          <t>Chinese</t>
        </is>
      </c>
      <c r="E539" s="21" t="inlineStr">
        <is>
          <t>High</t>
        </is>
      </c>
      <c r="F539" s="23" t="inlineStr">
        <is>
          <t>https://www.instagram.com/reel/DStLsYok4nP/?igsh=NjVncDZmeWdtcDlx</t>
        </is>
      </c>
      <c r="G539" s="28">
        <f>IF(AND(ISNUMBER(SEARCH("Breakfast",$C539)),$D539="Asian"),RAND(),"")</f>
        <v/>
      </c>
      <c r="H539" s="28">
        <f>IF(AND(ISNUMBER(SEARCH("Breakfast",$C539)),$D539="Chinese"),RAND(),"")</f>
        <v/>
      </c>
      <c r="I539" s="28">
        <f>IF(AND(ISNUMBER(SEARCH("Breakfast",$C539)),$D539="Western"),RAND(),"")</f>
        <v/>
      </c>
      <c r="J539" s="28">
        <f>IF(AND(ISNUMBER(SEARCH("Lunch",$C539)),$D539="Asian"),RAND(),"")</f>
        <v/>
      </c>
      <c r="K539" s="28">
        <f>IF(AND(ISNUMBER(SEARCH("Lunch",$C539)),$D539="Chinese"),RAND(),"")</f>
        <v/>
      </c>
      <c r="L539" s="28">
        <f>IF(AND(ISNUMBER(SEARCH("Lunch",$C539)),$D539="Western"),RAND(),"")</f>
        <v/>
      </c>
      <c r="M539" s="28">
        <f>IF(AND(ISNUMBER(SEARCH("Dinner",$C539)),$D539="Asian"),RAND(),"")</f>
        <v/>
      </c>
      <c r="N539" s="28">
        <f>IF(AND(ISNUMBER(SEARCH("Dinner",$C539)),$D539="Chinese"),RAND(),"")</f>
        <v/>
      </c>
      <c r="O539" s="28">
        <f>IF(AND(ISNUMBER(SEARCH("Dinner",$C539)),$D539="Western"),RAND(),"")</f>
        <v/>
      </c>
      <c r="P539" s="0" t="b">
        <v>1</v>
      </c>
    </row>
    <row r="540" ht="15.75" customHeight="1" s="36">
      <c r="A540" s="31" t="inlineStr">
        <is>
          <t>蒜香味增燒雞腿</t>
        </is>
      </c>
      <c r="B540" s="18" t="inlineStr">
        <is>
          <t>—</t>
        </is>
      </c>
      <c r="C540" s="17" t="inlineStr">
        <is>
          <t>Dinner</t>
        </is>
      </c>
      <c r="D540" s="26" t="inlineStr">
        <is>
          <t>Chinese</t>
        </is>
      </c>
      <c r="E540" s="17" t="inlineStr">
        <is>
          <t>High</t>
        </is>
      </c>
      <c r="F540" s="18" t="n"/>
      <c r="G540" s="27">
        <f>IF(AND(ISNUMBER(SEARCH("Breakfast",$C540)),$D540="Asian"),RAND(),"")</f>
        <v/>
      </c>
      <c r="H540" s="27">
        <f>IF(AND(ISNUMBER(SEARCH("Breakfast",$C540)),$D540="Chinese"),RAND(),"")</f>
        <v/>
      </c>
      <c r="I540" s="27">
        <f>IF(AND(ISNUMBER(SEARCH("Breakfast",$C540)),$D540="Western"),RAND(),"")</f>
        <v/>
      </c>
      <c r="J540" s="27">
        <f>IF(AND(ISNUMBER(SEARCH("Lunch",$C540)),$D540="Asian"),RAND(),"")</f>
        <v/>
      </c>
      <c r="K540" s="27">
        <f>IF(AND(ISNUMBER(SEARCH("Lunch",$C540)),$D540="Chinese"),RAND(),"")</f>
        <v/>
      </c>
      <c r="L540" s="27">
        <f>IF(AND(ISNUMBER(SEARCH("Lunch",$C540)),$D540="Western"),RAND(),"")</f>
        <v/>
      </c>
      <c r="M540" s="27">
        <f>IF(AND(ISNUMBER(SEARCH("Dinner",$C540)),$D540="Asian"),RAND(),"")</f>
        <v/>
      </c>
      <c r="N540" s="27">
        <f>IF(AND(ISNUMBER(SEARCH("Dinner",$C540)),$D540="Chinese"),RAND(),"")</f>
        <v/>
      </c>
      <c r="O540" s="27">
        <f>IF(AND(ISNUMBER(SEARCH("Dinner",$C540)),$D540="Western"),RAND(),"")</f>
        <v/>
      </c>
    </row>
    <row r="541" ht="15.75" customHeight="1" s="36">
      <c r="A541" s="32" t="inlineStr">
        <is>
          <t>补腰汤</t>
        </is>
      </c>
      <c r="B541" s="22" t="inlineStr">
        <is>
          <t>Pork Ribs, Herbal Soup Pack</t>
        </is>
      </c>
      <c r="C541" s="21" t="inlineStr">
        <is>
          <t>Dinner</t>
        </is>
      </c>
      <c r="D541" s="26" t="inlineStr">
        <is>
          <t>Chinese</t>
        </is>
      </c>
      <c r="E541" s="21" t="inlineStr">
        <is>
          <t>High</t>
        </is>
      </c>
      <c r="F541" s="22" t="n"/>
      <c r="G541" s="28">
        <f>IF(AND(ISNUMBER(SEARCH("Breakfast",$C541)),$D541="Asian"),RAND(),"")</f>
        <v/>
      </c>
      <c r="H541" s="28">
        <f>IF(AND(ISNUMBER(SEARCH("Breakfast",$C541)),$D541="Chinese"),RAND(),"")</f>
        <v/>
      </c>
      <c r="I541" s="28">
        <f>IF(AND(ISNUMBER(SEARCH("Breakfast",$C541)),$D541="Western"),RAND(),"")</f>
        <v/>
      </c>
      <c r="J541" s="28">
        <f>IF(AND(ISNUMBER(SEARCH("Lunch",$C541)),$D541="Asian"),RAND(),"")</f>
        <v/>
      </c>
      <c r="K541" s="28">
        <f>IF(AND(ISNUMBER(SEARCH("Lunch",$C541)),$D541="Chinese"),RAND(),"")</f>
        <v/>
      </c>
      <c r="L541" s="28">
        <f>IF(AND(ISNUMBER(SEARCH("Lunch",$C541)),$D541="Western"),RAND(),"")</f>
        <v/>
      </c>
      <c r="M541" s="28">
        <f>IF(AND(ISNUMBER(SEARCH("Dinner",$C541)),$D541="Asian"),RAND(),"")</f>
        <v/>
      </c>
      <c r="N541" s="28">
        <f>IF(AND(ISNUMBER(SEARCH("Dinner",$C541)),$D541="Chinese"),RAND(),"")</f>
        <v/>
      </c>
      <c r="O541" s="28">
        <f>IF(AND(ISNUMBER(SEARCH("Dinner",$C541)),$D541="Western"),RAND(),"")</f>
        <v/>
      </c>
      <c r="P541" s="0" t="b">
        <v>1</v>
      </c>
    </row>
    <row r="542" ht="15.75" customHeight="1" s="36">
      <c r="A542" s="31" t="inlineStr">
        <is>
          <t>豆乳豆苗</t>
        </is>
      </c>
      <c r="B542" s="31" t="inlineStr">
        <is>
          <t>豆苗, 腐竹, ginger, goji, chickensoup, soy milk</t>
        </is>
      </c>
      <c r="C542" s="17" t="inlineStr">
        <is>
          <t>Dinner</t>
        </is>
      </c>
      <c r="D542" s="26" t="inlineStr">
        <is>
          <t>Chinese</t>
        </is>
      </c>
      <c r="E542" s="17" t="inlineStr">
        <is>
          <t>High</t>
        </is>
      </c>
      <c r="F542" s="19" t="inlineStr">
        <is>
          <t>https://www.instagram.com/reel/DW6a4nPEqGB/?igsh=M2hncnZ6cnVpbm51</t>
        </is>
      </c>
      <c r="G542" s="27">
        <f>IF(AND(ISNUMBER(SEARCH("Breakfast",$C542)),$D542="Asian"),RAND(),"")</f>
        <v/>
      </c>
      <c r="H542" s="27">
        <f>IF(AND(ISNUMBER(SEARCH("Breakfast",$C542)),$D542="Chinese"),RAND(),"")</f>
        <v/>
      </c>
      <c r="I542" s="27">
        <f>IF(AND(ISNUMBER(SEARCH("Breakfast",$C542)),$D542="Western"),RAND(),"")</f>
        <v/>
      </c>
      <c r="J542" s="27">
        <f>IF(AND(ISNUMBER(SEARCH("Lunch",$C542)),$D542="Asian"),RAND(),"")</f>
        <v/>
      </c>
      <c r="K542" s="27">
        <f>IF(AND(ISNUMBER(SEARCH("Lunch",$C542)),$D542="Chinese"),RAND(),"")</f>
        <v/>
      </c>
      <c r="L542" s="27">
        <f>IF(AND(ISNUMBER(SEARCH("Lunch",$C542)),$D542="Western"),RAND(),"")</f>
        <v/>
      </c>
      <c r="M542" s="27">
        <f>IF(AND(ISNUMBER(SEARCH("Dinner",$C542)),$D542="Asian"),RAND(),"")</f>
        <v/>
      </c>
      <c r="N542" s="27">
        <f>IF(AND(ISNUMBER(SEARCH("Dinner",$C542)),$D542="Chinese"),RAND(),"")</f>
        <v/>
      </c>
      <c r="O542" s="27">
        <f>IF(AND(ISNUMBER(SEARCH("Dinner",$C542)),$D542="Western"),RAND(),"")</f>
        <v/>
      </c>
    </row>
    <row r="543" ht="15.75" customHeight="1" s="36">
      <c r="A543" s="32" t="inlineStr">
        <is>
          <t>豆乾絲炒豆芽菜</t>
        </is>
      </c>
      <c r="B543" s="22" t="inlineStr">
        <is>
          <t>—</t>
        </is>
      </c>
      <c r="C543" s="21" t="inlineStr">
        <is>
          <t>Dinner</t>
        </is>
      </c>
      <c r="D543" s="26" t="inlineStr">
        <is>
          <t>Chinese</t>
        </is>
      </c>
      <c r="E543" s="21" t="inlineStr">
        <is>
          <t>High</t>
        </is>
      </c>
      <c r="F543" s="22" t="n"/>
      <c r="G543" s="28">
        <f>IF(AND(ISNUMBER(SEARCH("Breakfast",$C543)),$D543="Asian"),RAND(),"")</f>
        <v/>
      </c>
      <c r="H543" s="28">
        <f>IF(AND(ISNUMBER(SEARCH("Breakfast",$C543)),$D543="Chinese"),RAND(),"")</f>
        <v/>
      </c>
      <c r="I543" s="28">
        <f>IF(AND(ISNUMBER(SEARCH("Breakfast",$C543)),$D543="Western"),RAND(),"")</f>
        <v/>
      </c>
      <c r="J543" s="28">
        <f>IF(AND(ISNUMBER(SEARCH("Lunch",$C543)),$D543="Asian"),RAND(),"")</f>
        <v/>
      </c>
      <c r="K543" s="28">
        <f>IF(AND(ISNUMBER(SEARCH("Lunch",$C543)),$D543="Chinese"),RAND(),"")</f>
        <v/>
      </c>
      <c r="L543" s="28">
        <f>IF(AND(ISNUMBER(SEARCH("Lunch",$C543)),$D543="Western"),RAND(),"")</f>
        <v/>
      </c>
      <c r="M543" s="28">
        <f>IF(AND(ISNUMBER(SEARCH("Dinner",$C543)),$D543="Asian"),RAND(),"")</f>
        <v/>
      </c>
      <c r="N543" s="28">
        <f>IF(AND(ISNUMBER(SEARCH("Dinner",$C543)),$D543="Chinese"),RAND(),"")</f>
        <v/>
      </c>
      <c r="O543" s="28">
        <f>IF(AND(ISNUMBER(SEARCH("Dinner",$C543)),$D543="Western"),RAND(),"")</f>
        <v/>
      </c>
    </row>
    <row r="544" ht="15.75" customHeight="1" s="36">
      <c r="A544" s="31" t="inlineStr">
        <is>
          <t>豆豉油麦菜</t>
        </is>
      </c>
      <c r="B544" s="18" t="inlineStr">
        <is>
          <t>can fish with fermented fish, 油麦菜, garlic</t>
        </is>
      </c>
      <c r="C544" s="17" t="inlineStr">
        <is>
          <t>Dinner</t>
        </is>
      </c>
      <c r="D544" s="26" t="inlineStr">
        <is>
          <t>Chinese</t>
        </is>
      </c>
      <c r="E544" s="17" t="inlineStr">
        <is>
          <t>High</t>
        </is>
      </c>
      <c r="F544" s="19" t="inlineStr">
        <is>
          <t>https://www.instagram.com/reel/DQ-jTM4AKTP/?igsh=MXdwZjl0bXVpd3AwOA%3D%3D</t>
        </is>
      </c>
      <c r="G544" s="27">
        <f>IF(AND(ISNUMBER(SEARCH("Breakfast",$C544)),$D544="Asian"),RAND(),"")</f>
        <v/>
      </c>
      <c r="H544" s="27">
        <f>IF(AND(ISNUMBER(SEARCH("Breakfast",$C544)),$D544="Chinese"),RAND(),"")</f>
        <v/>
      </c>
      <c r="I544" s="27">
        <f>IF(AND(ISNUMBER(SEARCH("Breakfast",$C544)),$D544="Western"),RAND(),"")</f>
        <v/>
      </c>
      <c r="J544" s="27">
        <f>IF(AND(ISNUMBER(SEARCH("Lunch",$C544)),$D544="Asian"),RAND(),"")</f>
        <v/>
      </c>
      <c r="K544" s="27">
        <f>IF(AND(ISNUMBER(SEARCH("Lunch",$C544)),$D544="Chinese"),RAND(),"")</f>
        <v/>
      </c>
      <c r="L544" s="27">
        <f>IF(AND(ISNUMBER(SEARCH("Lunch",$C544)),$D544="Western"),RAND(),"")</f>
        <v/>
      </c>
      <c r="M544" s="27">
        <f>IF(AND(ISNUMBER(SEARCH("Dinner",$C544)),$D544="Asian"),RAND(),"")</f>
        <v/>
      </c>
      <c r="N544" s="27">
        <f>IF(AND(ISNUMBER(SEARCH("Dinner",$C544)),$D544="Chinese"),RAND(),"")</f>
        <v/>
      </c>
      <c r="O544" s="27">
        <f>IF(AND(ISNUMBER(SEARCH("Dinner",$C544)),$D544="Western"),RAND(),"")</f>
        <v/>
      </c>
    </row>
    <row r="545" ht="15.75" customHeight="1" s="36">
      <c r="A545" s="32" t="inlineStr">
        <is>
          <t>酱烧排骨</t>
        </is>
      </c>
      <c r="B545" s="22" t="inlineStr">
        <is>
          <t>—</t>
        </is>
      </c>
      <c r="C545" s="21" t="inlineStr">
        <is>
          <t>Dinner</t>
        </is>
      </c>
      <c r="D545" s="26" t="inlineStr">
        <is>
          <t>Chinese</t>
        </is>
      </c>
      <c r="E545" s="21" t="inlineStr">
        <is>
          <t>High</t>
        </is>
      </c>
      <c r="F545" s="22" t="n"/>
      <c r="G545" s="28">
        <f>IF(AND(ISNUMBER(SEARCH("Breakfast",$C545)),$D545="Asian"),RAND(),"")</f>
        <v/>
      </c>
      <c r="H545" s="28">
        <f>IF(AND(ISNUMBER(SEARCH("Breakfast",$C545)),$D545="Chinese"),RAND(),"")</f>
        <v/>
      </c>
      <c r="I545" s="28">
        <f>IF(AND(ISNUMBER(SEARCH("Breakfast",$C545)),$D545="Western"),RAND(),"")</f>
        <v/>
      </c>
      <c r="J545" s="28">
        <f>IF(AND(ISNUMBER(SEARCH("Lunch",$C545)),$D545="Asian"),RAND(),"")</f>
        <v/>
      </c>
      <c r="K545" s="28">
        <f>IF(AND(ISNUMBER(SEARCH("Lunch",$C545)),$D545="Chinese"),RAND(),"")</f>
        <v/>
      </c>
      <c r="L545" s="28">
        <f>IF(AND(ISNUMBER(SEARCH("Lunch",$C545)),$D545="Western"),RAND(),"")</f>
        <v/>
      </c>
      <c r="M545" s="28">
        <f>IF(AND(ISNUMBER(SEARCH("Dinner",$C545)),$D545="Asian"),RAND(),"")</f>
        <v/>
      </c>
      <c r="N545" s="28">
        <f>IF(AND(ISNUMBER(SEARCH("Dinner",$C545)),$D545="Chinese"),RAND(),"")</f>
        <v/>
      </c>
      <c r="O545" s="28">
        <f>IF(AND(ISNUMBER(SEARCH("Dinner",$C545)),$D545="Western"),RAND(),"")</f>
        <v/>
      </c>
    </row>
    <row r="546" ht="15.75" customHeight="1" s="36">
      <c r="A546" s="31" t="inlineStr">
        <is>
          <t>酸菜白肉锅</t>
        </is>
      </c>
      <c r="B546" s="31" t="inlineStr">
        <is>
          <t>酸白菜, 五花肉, 冬粉, Pork Broth, Rice Wine, Spring Onion, Ginger, Garlic</t>
        </is>
      </c>
      <c r="C546" s="17" t="inlineStr">
        <is>
          <t>Dinner</t>
        </is>
      </c>
      <c r="D546" s="26" t="inlineStr">
        <is>
          <t>Chinese</t>
        </is>
      </c>
      <c r="E546" s="17" t="inlineStr">
        <is>
          <t>High</t>
        </is>
      </c>
      <c r="F546" s="19" t="inlineStr">
        <is>
          <t>https://icook.tw/recipes/399333?utm_source=copy&amp;utm_medium=sharev3&amp;utm_campaign=recipe-share</t>
        </is>
      </c>
      <c r="G546" s="27">
        <f>IF(AND(ISNUMBER(SEARCH("Breakfast",$C546)),$D546="Asian"),RAND(),"")</f>
        <v/>
      </c>
      <c r="H546" s="27">
        <f>IF(AND(ISNUMBER(SEARCH("Breakfast",$C546)),$D546="Chinese"),RAND(),"")</f>
        <v/>
      </c>
      <c r="I546" s="27">
        <f>IF(AND(ISNUMBER(SEARCH("Breakfast",$C546)),$D546="Western"),RAND(),"")</f>
        <v/>
      </c>
      <c r="J546" s="27">
        <f>IF(AND(ISNUMBER(SEARCH("Lunch",$C546)),$D546="Asian"),RAND(),"")</f>
        <v/>
      </c>
      <c r="K546" s="27">
        <f>IF(AND(ISNUMBER(SEARCH("Lunch",$C546)),$D546="Chinese"),RAND(),"")</f>
        <v/>
      </c>
      <c r="L546" s="27">
        <f>IF(AND(ISNUMBER(SEARCH("Lunch",$C546)),$D546="Western"),RAND(),"")</f>
        <v/>
      </c>
      <c r="M546" s="27">
        <f>IF(AND(ISNUMBER(SEARCH("Dinner",$C546)),$D546="Asian"),RAND(),"")</f>
        <v/>
      </c>
      <c r="N546" s="27">
        <f>IF(AND(ISNUMBER(SEARCH("Dinner",$C546)),$D546="Chinese"),RAND(),"")</f>
        <v/>
      </c>
      <c r="O546" s="27">
        <f>IF(AND(ISNUMBER(SEARCH("Dinner",$C546)),$D546="Western"),RAND(),"")</f>
        <v/>
      </c>
    </row>
    <row r="547" ht="15.75" customHeight="1" s="36">
      <c r="A547" s="32" t="inlineStr">
        <is>
          <t>金针菇炒空心菜</t>
        </is>
      </c>
      <c r="B547" s="22" t="inlineStr">
        <is>
          <t>enoki mushroom, Kang Kong, Garlic, Salt</t>
        </is>
      </c>
      <c r="C547" s="21" t="inlineStr">
        <is>
          <t>Dinner</t>
        </is>
      </c>
      <c r="D547" s="26" t="inlineStr">
        <is>
          <t>Chinese</t>
        </is>
      </c>
      <c r="E547" s="21" t="inlineStr">
        <is>
          <t>High</t>
        </is>
      </c>
      <c r="F547" s="23" t="inlineStr">
        <is>
          <t>https://icook.tw/recipes/415832?utm_source=copy&amp;utm_medium=sharev3&amp;utm_campaign=recipe-share</t>
        </is>
      </c>
      <c r="G547" s="28">
        <f>IF(AND(ISNUMBER(SEARCH("Breakfast",$C547)),$D547="Asian"),RAND(),"")</f>
        <v/>
      </c>
      <c r="H547" s="28">
        <f>IF(AND(ISNUMBER(SEARCH("Breakfast",$C547)),$D547="Chinese"),RAND(),"")</f>
        <v/>
      </c>
      <c r="I547" s="28">
        <f>IF(AND(ISNUMBER(SEARCH("Breakfast",$C547)),$D547="Western"),RAND(),"")</f>
        <v/>
      </c>
      <c r="J547" s="28">
        <f>IF(AND(ISNUMBER(SEARCH("Lunch",$C547)),$D547="Asian"),RAND(),"")</f>
        <v/>
      </c>
      <c r="K547" s="28">
        <f>IF(AND(ISNUMBER(SEARCH("Lunch",$C547)),$D547="Chinese"),RAND(),"")</f>
        <v/>
      </c>
      <c r="L547" s="28">
        <f>IF(AND(ISNUMBER(SEARCH("Lunch",$C547)),$D547="Western"),RAND(),"")</f>
        <v/>
      </c>
      <c r="M547" s="28">
        <f>IF(AND(ISNUMBER(SEARCH("Dinner",$C547)),$D547="Asian"),RAND(),"")</f>
        <v/>
      </c>
      <c r="N547" s="28">
        <f>IF(AND(ISNUMBER(SEARCH("Dinner",$C547)),$D547="Chinese"),RAND(),"")</f>
        <v/>
      </c>
      <c r="O547" s="28">
        <f>IF(AND(ISNUMBER(SEARCH("Dinner",$C547)),$D547="Western"),RAND(),"")</f>
        <v/>
      </c>
    </row>
    <row r="548" ht="15.75" customHeight="1" s="36">
      <c r="A548" s="31" t="inlineStr">
        <is>
          <t>零厨艺简单出好菜：小磨坊打抛酱炒猪肉</t>
        </is>
      </c>
      <c r="B548" s="18" t="inlineStr">
        <is>
          <t>Minced Meat, Tomato, Basil Leaf, Spinach</t>
        </is>
      </c>
      <c r="C548" s="17" t="inlineStr">
        <is>
          <t>Dinner</t>
        </is>
      </c>
      <c r="D548" s="26" t="inlineStr">
        <is>
          <t>Chinese</t>
        </is>
      </c>
      <c r="E548" s="17" t="inlineStr">
        <is>
          <t>High</t>
        </is>
      </c>
      <c r="F548" s="19" t="inlineStr">
        <is>
          <t>https://icook.tw/recipes/372275?utm_source=copy&amp;utm_medium=sharev3&amp;utm_campaign=recipe-share</t>
        </is>
      </c>
      <c r="G548" s="27">
        <f>IF(AND(ISNUMBER(SEARCH("Breakfast",$C548)),$D548="Asian"),RAND(),"")</f>
        <v/>
      </c>
      <c r="H548" s="27">
        <f>IF(AND(ISNUMBER(SEARCH("Breakfast",$C548)),$D548="Chinese"),RAND(),"")</f>
        <v/>
      </c>
      <c r="I548" s="27">
        <f>IF(AND(ISNUMBER(SEARCH("Breakfast",$C548)),$D548="Western"),RAND(),"")</f>
        <v/>
      </c>
      <c r="J548" s="27">
        <f>IF(AND(ISNUMBER(SEARCH("Lunch",$C548)),$D548="Asian"),RAND(),"")</f>
        <v/>
      </c>
      <c r="K548" s="27">
        <f>IF(AND(ISNUMBER(SEARCH("Lunch",$C548)),$D548="Chinese"),RAND(),"")</f>
        <v/>
      </c>
      <c r="L548" s="27">
        <f>IF(AND(ISNUMBER(SEARCH("Lunch",$C548)),$D548="Western"),RAND(),"")</f>
        <v/>
      </c>
      <c r="M548" s="27">
        <f>IF(AND(ISNUMBER(SEARCH("Dinner",$C548)),$D548="Asian"),RAND(),"")</f>
        <v/>
      </c>
      <c r="N548" s="27">
        <f>IF(AND(ISNUMBER(SEARCH("Dinner",$C548)),$D548="Chinese"),RAND(),"")</f>
        <v/>
      </c>
      <c r="O548" s="27">
        <f>IF(AND(ISNUMBER(SEARCH("Dinner",$C548)),$D548="Western"),RAND(),"")</f>
        <v/>
      </c>
    </row>
    <row r="549" ht="15.75" customHeight="1" s="36">
      <c r="A549" s="32" t="inlineStr">
        <is>
          <t>香煎猪颈肉</t>
        </is>
      </c>
      <c r="B549" s="22" t="inlineStr">
        <is>
          <t>Pork Jowl, Onion, Garlic, Lemon</t>
        </is>
      </c>
      <c r="C549" s="21" t="inlineStr">
        <is>
          <t>Dinner</t>
        </is>
      </c>
      <c r="D549" s="26" t="inlineStr">
        <is>
          <t>Chinese</t>
        </is>
      </c>
      <c r="E549" s="21" t="inlineStr">
        <is>
          <t>High</t>
        </is>
      </c>
      <c r="F549" s="23" t="inlineStr">
        <is>
          <t>https://icook.tw/recipes/342486?utm_source=copy&amp;utm_medium=sharev3&amp;utm_campaign=recipe-share</t>
        </is>
      </c>
      <c r="G549" s="28">
        <f>IF(AND(ISNUMBER(SEARCH("Breakfast",$C549)),$D549="Asian"),RAND(),"")</f>
        <v/>
      </c>
      <c r="H549" s="28">
        <f>IF(AND(ISNUMBER(SEARCH("Breakfast",$C549)),$D549="Chinese"),RAND(),"")</f>
        <v/>
      </c>
      <c r="I549" s="28">
        <f>IF(AND(ISNUMBER(SEARCH("Breakfast",$C549)),$D549="Western"),RAND(),"")</f>
        <v/>
      </c>
      <c r="J549" s="28">
        <f>IF(AND(ISNUMBER(SEARCH("Lunch",$C549)),$D549="Asian"),RAND(),"")</f>
        <v/>
      </c>
      <c r="K549" s="28">
        <f>IF(AND(ISNUMBER(SEARCH("Lunch",$C549)),$D549="Chinese"),RAND(),"")</f>
        <v/>
      </c>
      <c r="L549" s="28">
        <f>IF(AND(ISNUMBER(SEARCH("Lunch",$C549)),$D549="Western"),RAND(),"")</f>
        <v/>
      </c>
      <c r="M549" s="28">
        <f>IF(AND(ISNUMBER(SEARCH("Dinner",$C549)),$D549="Asian"),RAND(),"")</f>
        <v/>
      </c>
      <c r="N549" s="28">
        <f>IF(AND(ISNUMBER(SEARCH("Dinner",$C549)),$D549="Chinese"),RAND(),"")</f>
        <v/>
      </c>
      <c r="O549" s="28">
        <f>IF(AND(ISNUMBER(SEARCH("Dinner",$C549)),$D549="Western"),RAND(),"")</f>
        <v/>
      </c>
    </row>
    <row r="550" ht="15.75" customHeight="1" s="36">
      <c r="A550" s="31" t="inlineStr">
        <is>
          <t>香菇油菜</t>
        </is>
      </c>
      <c r="B550" s="18" t="inlineStr">
        <is>
          <t>Garlic, 香菇, 青菜, Soy Sauce</t>
        </is>
      </c>
      <c r="C550" s="17" t="inlineStr">
        <is>
          <t>Dinner</t>
        </is>
      </c>
      <c r="D550" s="26" t="inlineStr">
        <is>
          <t>Chinese</t>
        </is>
      </c>
      <c r="E550" s="17" t="inlineStr">
        <is>
          <t>High</t>
        </is>
      </c>
      <c r="F550" s="19" t="inlineStr">
        <is>
          <t>http://xhslink.com/a/g2Hr3z7wB8rX</t>
        </is>
      </c>
      <c r="G550" s="27">
        <f>IF(AND(ISNUMBER(SEARCH("Breakfast",$C550)),$D550="Asian"),RAND(),"")</f>
        <v/>
      </c>
      <c r="H550" s="27">
        <f>IF(AND(ISNUMBER(SEARCH("Breakfast",$C550)),$D550="Chinese"),RAND(),"")</f>
        <v/>
      </c>
      <c r="I550" s="27">
        <f>IF(AND(ISNUMBER(SEARCH("Breakfast",$C550)),$D550="Western"),RAND(),"")</f>
        <v/>
      </c>
      <c r="J550" s="27">
        <f>IF(AND(ISNUMBER(SEARCH("Lunch",$C550)),$D550="Asian"),RAND(),"")</f>
        <v/>
      </c>
      <c r="K550" s="27">
        <f>IF(AND(ISNUMBER(SEARCH("Lunch",$C550)),$D550="Chinese"),RAND(),"")</f>
        <v/>
      </c>
      <c r="L550" s="27">
        <f>IF(AND(ISNUMBER(SEARCH("Lunch",$C550)),$D550="Western"),RAND(),"")</f>
        <v/>
      </c>
      <c r="M550" s="27">
        <f>IF(AND(ISNUMBER(SEARCH("Dinner",$C550)),$D550="Asian"),RAND(),"")</f>
        <v/>
      </c>
      <c r="N550" s="27">
        <f>IF(AND(ISNUMBER(SEARCH("Dinner",$C550)),$D550="Chinese"),RAND(),"")</f>
        <v/>
      </c>
      <c r="O550" s="27">
        <f>IF(AND(ISNUMBER(SEARCH("Dinner",$C550)),$D550="Western"),RAND(),"")</f>
        <v/>
      </c>
    </row>
    <row r="551" ht="15.75" customHeight="1" s="36">
      <c r="A551" s="32" t="inlineStr">
        <is>
          <t>香菜皮蛋汤</t>
        </is>
      </c>
      <c r="B551" s="22" t="inlineStr">
        <is>
          <t>Coriander, 皮蛋, Chicken Stock, 扁鱼, Tomato, Corn, Shimeiji Mushroom, Ginger, Rice Wine, Sesame Oil, Daikon</t>
        </is>
      </c>
      <c r="C551" s="21" t="inlineStr">
        <is>
          <t>Dinner</t>
        </is>
      </c>
      <c r="D551" s="26" t="inlineStr">
        <is>
          <t>Chinese</t>
        </is>
      </c>
      <c r="E551" s="21" t="inlineStr">
        <is>
          <t>High</t>
        </is>
      </c>
      <c r="F551" s="23" t="inlineStr">
        <is>
          <t>https://icook.tw/recipes/277474?utm_source=copy&amp;utm_medium=sharev3&amp;utm_campaign=recipe-share</t>
        </is>
      </c>
      <c r="G551" s="28">
        <f>IF(AND(ISNUMBER(SEARCH("Breakfast",$C551)),$D551="Asian"),RAND(),"")</f>
        <v/>
      </c>
      <c r="H551" s="28">
        <f>IF(AND(ISNUMBER(SEARCH("Breakfast",$C551)),$D551="Chinese"),RAND(),"")</f>
        <v/>
      </c>
      <c r="I551" s="28">
        <f>IF(AND(ISNUMBER(SEARCH("Breakfast",$C551)),$D551="Western"),RAND(),"")</f>
        <v/>
      </c>
      <c r="J551" s="28">
        <f>IF(AND(ISNUMBER(SEARCH("Lunch",$C551)),$D551="Asian"),RAND(),"")</f>
        <v/>
      </c>
      <c r="K551" s="28">
        <f>IF(AND(ISNUMBER(SEARCH("Lunch",$C551)),$D551="Chinese"),RAND(),"")</f>
        <v/>
      </c>
      <c r="L551" s="28">
        <f>IF(AND(ISNUMBER(SEARCH("Lunch",$C551)),$D551="Western"),RAND(),"")</f>
        <v/>
      </c>
      <c r="M551" s="28">
        <f>IF(AND(ISNUMBER(SEARCH("Dinner",$C551)),$D551="Asian"),RAND(),"")</f>
        <v/>
      </c>
      <c r="N551" s="28">
        <f>IF(AND(ISNUMBER(SEARCH("Dinner",$C551)),$D551="Chinese"),RAND(),"")</f>
        <v/>
      </c>
      <c r="O551" s="28">
        <f>IF(AND(ISNUMBER(SEARCH("Dinner",$C551)),$D551="Western"),RAND(),"")</f>
        <v/>
      </c>
      <c r="P551" s="0" t="b">
        <v>1</v>
      </c>
    </row>
    <row r="552" ht="15.75" customHeight="1" s="36">
      <c r="A552" s="31" t="inlineStr">
        <is>
          <t>鲑鱼节瓜炒饭</t>
        </is>
      </c>
      <c r="B552" s="18" t="inlineStr">
        <is>
          <t>Salmon, 节瓜, rice, Garlic, Egg, White Pepper</t>
        </is>
      </c>
      <c r="C552" s="17" t="inlineStr">
        <is>
          <t>Lunch</t>
        </is>
      </c>
      <c r="D552" s="26" t="inlineStr">
        <is>
          <t>Chinese</t>
        </is>
      </c>
      <c r="E552" s="17" t="inlineStr">
        <is>
          <t>High</t>
        </is>
      </c>
      <c r="F552" s="19" t="inlineStr">
        <is>
          <t>https://icook.tw/recipes/479657?utm_source=copy&amp;utm_medium=sharev3&amp;utm_campaign=recipe-share</t>
        </is>
      </c>
      <c r="G552" s="27">
        <f>IF(AND(ISNUMBER(SEARCH("Breakfast",$C552)),$D552="Asian"),RAND(),"")</f>
        <v/>
      </c>
      <c r="H552" s="27">
        <f>IF(AND(ISNUMBER(SEARCH("Breakfast",$C552)),$D552="Chinese"),RAND(),"")</f>
        <v/>
      </c>
      <c r="I552" s="27">
        <f>IF(AND(ISNUMBER(SEARCH("Breakfast",$C552)),$D552="Western"),RAND(),"")</f>
        <v/>
      </c>
      <c r="J552" s="27">
        <f>IF(AND(ISNUMBER(SEARCH("Lunch",$C552)),$D552="Asian"),RAND(),"")</f>
        <v/>
      </c>
      <c r="K552" s="27">
        <f>IF(AND(ISNUMBER(SEARCH("Lunch",$C552)),$D552="Chinese"),RAND(),"")</f>
        <v/>
      </c>
      <c r="L552" s="27">
        <f>IF(AND(ISNUMBER(SEARCH("Lunch",$C552)),$D552="Western"),RAND(),"")</f>
        <v/>
      </c>
      <c r="M552" s="27">
        <f>IF(AND(ISNUMBER(SEARCH("Dinner",$C552)),$D552="Asian"),RAND(),"")</f>
        <v/>
      </c>
      <c r="N552" s="27">
        <f>IF(AND(ISNUMBER(SEARCH("Dinner",$C552)),$D552="Chinese"),RAND(),"")</f>
        <v/>
      </c>
      <c r="O552" s="27">
        <f>IF(AND(ISNUMBER(SEARCH("Dinner",$C552)),$D552="Western"),RAND(),"")</f>
        <v/>
      </c>
    </row>
    <row r="553" ht="15.75" customHeight="1" s="36">
      <c r="A553" s="32" t="inlineStr">
        <is>
          <t>麦咚</t>
        </is>
      </c>
      <c r="B553" s="32" t="inlineStr">
        <is>
          <t>党参, 一字排, 姜, 鸡蛋, 黄耆</t>
        </is>
      </c>
      <c r="C553" s="21" t="inlineStr">
        <is>
          <t>Dinner</t>
        </is>
      </c>
      <c r="D553" s="26" t="inlineStr">
        <is>
          <t>Chinese</t>
        </is>
      </c>
      <c r="E553" s="21" t="inlineStr">
        <is>
          <t>High</t>
        </is>
      </c>
      <c r="F553" s="23" t="inlineStr">
        <is>
          <t>https://www.facebook.com/share/v/19ri6TjNNa/?mibextid=wwXIfr</t>
        </is>
      </c>
      <c r="G553" s="28">
        <f>IF(AND(ISNUMBER(SEARCH("Breakfast",$C553)),$D553="Asian"),RAND(),"")</f>
        <v/>
      </c>
      <c r="H553" s="28">
        <f>IF(AND(ISNUMBER(SEARCH("Breakfast",$C553)),$D553="Chinese"),RAND(),"")</f>
        <v/>
      </c>
      <c r="I553" s="28">
        <f>IF(AND(ISNUMBER(SEARCH("Breakfast",$C553)),$D553="Western"),RAND(),"")</f>
        <v/>
      </c>
      <c r="J553" s="28">
        <f>IF(AND(ISNUMBER(SEARCH("Lunch",$C553)),$D553="Asian"),RAND(),"")</f>
        <v/>
      </c>
      <c r="K553" s="28">
        <f>IF(AND(ISNUMBER(SEARCH("Lunch",$C553)),$D553="Chinese"),RAND(),"")</f>
        <v/>
      </c>
      <c r="L553" s="28">
        <f>IF(AND(ISNUMBER(SEARCH("Lunch",$C553)),$D553="Western"),RAND(),"")</f>
        <v/>
      </c>
      <c r="M553" s="28">
        <f>IF(AND(ISNUMBER(SEARCH("Dinner",$C553)),$D553="Asian"),RAND(),"")</f>
        <v/>
      </c>
      <c r="N553" s="28">
        <f>IF(AND(ISNUMBER(SEARCH("Dinner",$C553)),$D553="Chinese"),RAND(),"")</f>
        <v/>
      </c>
      <c r="O553" s="28">
        <f>IF(AND(ISNUMBER(SEARCH("Dinner",$C553)),$D553="Western"),RAND(),"")</f>
        <v/>
      </c>
    </row>
    <row r="554" ht="15.75" customHeight="1" s="36">
      <c r="A554" s="31" t="inlineStr">
        <is>
          <t>麻香红罗卜丝饼</t>
        </is>
      </c>
      <c r="B554" s="18" t="inlineStr">
        <is>
          <t>Carrots, Radish, Spring onion, Egg, Flour</t>
        </is>
      </c>
      <c r="C554" s="17" t="inlineStr">
        <is>
          <t>Dinner</t>
        </is>
      </c>
      <c r="D554" s="26" t="inlineStr">
        <is>
          <t>Chinese</t>
        </is>
      </c>
      <c r="E554" s="17" t="inlineStr">
        <is>
          <t>High</t>
        </is>
      </c>
      <c r="F554" s="19" t="inlineStr">
        <is>
          <t>https://icook.tw/recipes/478875?utm_source=copy&amp;utm_medium=sharev3&amp;utm_campaign=recipe-share</t>
        </is>
      </c>
      <c r="G554" s="27">
        <f>IF(AND(ISNUMBER(SEARCH("Breakfast",$C554)),$D554="Asian"),RAND(),"")</f>
        <v/>
      </c>
      <c r="H554" s="27">
        <f>IF(AND(ISNUMBER(SEARCH("Breakfast",$C554)),$D554="Chinese"),RAND(),"")</f>
        <v/>
      </c>
      <c r="I554" s="27">
        <f>IF(AND(ISNUMBER(SEARCH("Breakfast",$C554)),$D554="Western"),RAND(),"")</f>
        <v/>
      </c>
      <c r="J554" s="27">
        <f>IF(AND(ISNUMBER(SEARCH("Lunch",$C554)),$D554="Asian"),RAND(),"")</f>
        <v/>
      </c>
      <c r="K554" s="27">
        <f>IF(AND(ISNUMBER(SEARCH("Lunch",$C554)),$D554="Chinese"),RAND(),"")</f>
        <v/>
      </c>
      <c r="L554" s="27">
        <f>IF(AND(ISNUMBER(SEARCH("Lunch",$C554)),$D554="Western"),RAND(),"")</f>
        <v/>
      </c>
      <c r="M554" s="27">
        <f>IF(AND(ISNUMBER(SEARCH("Dinner",$C554)),$D554="Asian"),RAND(),"")</f>
        <v/>
      </c>
      <c r="N554" s="27">
        <f>IF(AND(ISNUMBER(SEARCH("Dinner",$C554)),$D554="Chinese"),RAND(),"")</f>
        <v/>
      </c>
      <c r="O554" s="27">
        <f>IF(AND(ISNUMBER(SEARCH("Dinner",$C554)),$D554="Western"),RAND(),"")</f>
        <v/>
      </c>
    </row>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sheetData>
  <autoFilter ref="$A$1:$F$554"/>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A15"/>
  <sheetViews>
    <sheetView showGridLines="0" workbookViewId="0">
      <selection activeCell="A1" sqref="A1"/>
    </sheetView>
  </sheetViews>
  <sheetFormatPr baseColWidth="8" defaultColWidth="14.43" defaultRowHeight="15" customHeight="1"/>
  <cols>
    <col width="120" customWidth="1" style="36" min="1" max="1"/>
    <col width="8.710000000000001" customWidth="1" style="36" min="2" max="26"/>
  </cols>
  <sheetData>
    <row r="1">
      <c r="A1" s="34" t="inlineStr">
        <is>
          <t>Read Me</t>
        </is>
      </c>
    </row>
    <row r="2">
      <c r="A2" s="35" t="n"/>
    </row>
    <row r="3">
      <c r="A3" s="34" t="inlineStr">
        <is>
          <t>USE:</t>
        </is>
      </c>
    </row>
    <row r="4">
      <c r="A4" s="35" t="inlineStr">
        <is>
          <t>1. Generator tab. In the top grid, type how many Asian / Chinese / Western you want for each meal. Total column shows the per-meal sum.</t>
        </is>
      </c>
    </row>
    <row r="5">
      <c r="A5" s="35" t="inlineStr">
        <is>
          <t>2. Edit the reshuffle cell (B9): tap, type a space, Enter, delete — all picks refresh, no repeats within a meal+cuisine.</t>
        </is>
      </c>
    </row>
    <row r="6">
      <c r="A6" s="35" t="inlineStr">
        <is>
          <t>3. Works in the Google Sheets phone app.</t>
        </is>
      </c>
    </row>
    <row r="7">
      <c r="A7" s="35" t="n"/>
    </row>
    <row r="8">
      <c r="A8" s="34" t="inlineStr">
        <is>
          <t>CEILINGS (max available per meal × cuisine — asking for more leaves blanks):</t>
        </is>
      </c>
    </row>
    <row r="9">
      <c r="A9" s="35" t="inlineStr">
        <is>
          <t>Breakfast: Asian 3 · Chinese 2 · Western 11   |   Lunch: Asian 26 · Chinese 26 · Western 44   |   Dinner: Asian 89 · Chinese 160 · Western 58</t>
        </is>
      </c>
    </row>
    <row r="10">
      <c r="A10" s="35" t="inlineStr">
        <is>
          <t>Unsure-cuisine dishes are excluded from picks until you reclassify them on the All Recipes tab (column D).</t>
        </is>
      </c>
    </row>
    <row r="11">
      <c r="A11" s="35" t="n"/>
    </row>
    <row r="12">
      <c r="A12" s="34" t="inlineStr">
        <is>
          <t>LIMITS:</t>
        </is>
      </c>
    </row>
    <row r="13">
      <c r="A13" s="35" t="inlineStr">
        <is>
          <t>• Cuisine is a heuristic best-guess; Confidence column flags Low ones to fix. Edit column D on All Recipes to correct — the generator updates automatically.</t>
        </is>
      </c>
    </row>
    <row r="14">
      <c r="A14" s="35" t="inlineStr">
        <is>
          <t>• Standard functions only (RAND, SEARCH, AND, LARGE, INDEX, MATCH, IF); verified to recalc cleanly. Open in Google to confirm reshuffle.</t>
        </is>
      </c>
    </row>
    <row r="15">
      <c r="A15" s="35" t="inlineStr">
        <is>
          <t>• Keep All Recipes columns G–O (hidden) — they are the per-meal-cuisine random helpers.</t>
        </is>
      </c>
    </row>
    <row r="21" ht="15.75" customHeight="1" s="36"/>
    <row r="22" ht="15.75" customHeight="1" s="36"/>
    <row r="23" ht="15.75" customHeight="1" s="36"/>
    <row r="24" ht="15.75" customHeight="1" s="36"/>
    <row r="25" ht="15.75" customHeight="1" s="36"/>
    <row r="26" ht="15.75" customHeight="1" s="36"/>
    <row r="27" ht="15.75" customHeight="1" s="36"/>
    <row r="28" ht="15.75" customHeight="1" s="36"/>
    <row r="29" ht="15.75" customHeight="1" s="36"/>
    <row r="30" ht="15.75" customHeight="1" s="36"/>
    <row r="31" ht="15.75" customHeight="1" s="36"/>
    <row r="32" ht="15.75" customHeight="1" s="36"/>
    <row r="33" ht="15.75" customHeight="1" s="36"/>
    <row r="34" ht="15.75" customHeight="1" s="36"/>
    <row r="35" ht="15.75" customHeight="1" s="36"/>
    <row r="36" ht="15.75" customHeight="1" s="36"/>
    <row r="37" ht="15.75" customHeight="1" s="36"/>
    <row r="38" ht="15.75" customHeight="1" s="36"/>
    <row r="39" ht="15.75" customHeight="1" s="36"/>
    <row r="40" ht="15.75" customHeight="1" s="36"/>
    <row r="41" ht="15.75" customHeight="1" s="36"/>
    <row r="42" ht="15.75" customHeight="1" s="36"/>
    <row r="43" ht="15.75" customHeight="1" s="36"/>
    <row r="44" ht="15.75" customHeight="1" s="36"/>
    <row r="45" ht="15.75" customHeight="1" s="36"/>
    <row r="46" ht="15.75" customHeight="1" s="36"/>
    <row r="47" ht="15.75" customHeight="1" s="36"/>
    <row r="48" ht="15.75" customHeight="1" s="36"/>
    <row r="49" ht="15.75" customHeight="1" s="36"/>
    <row r="50" ht="15.75" customHeight="1" s="36"/>
    <row r="51" ht="15.75" customHeight="1" s="36"/>
    <row r="52" ht="15.75" customHeight="1" s="36"/>
    <row r="53" ht="15.75" customHeight="1" s="36"/>
    <row r="54" ht="15.75" customHeight="1" s="36"/>
    <row r="55" ht="15.75" customHeight="1" s="36"/>
    <row r="56" ht="15.75" customHeight="1" s="36"/>
    <row r="57" ht="15.75" customHeight="1" s="36"/>
    <row r="58" ht="15.75" customHeight="1" s="36"/>
    <row r="59" ht="15.75" customHeight="1" s="36"/>
    <row r="60" ht="15.75" customHeight="1" s="36"/>
    <row r="61" ht="15.75" customHeight="1" s="36"/>
    <row r="62" ht="15.75" customHeight="1" s="36"/>
    <row r="63" ht="15.75" customHeight="1" s="36"/>
    <row r="64" ht="15.75" customHeight="1" s="36"/>
    <row r="65" ht="15.75" customHeight="1" s="36"/>
    <row r="66" ht="15.75" customHeight="1" s="36"/>
    <row r="67" ht="15.75" customHeight="1" s="36"/>
    <row r="68" ht="15.75" customHeight="1" s="36"/>
    <row r="69" ht="15.75" customHeight="1" s="36"/>
    <row r="70" ht="15.75" customHeight="1" s="36"/>
    <row r="71" ht="15.75" customHeight="1" s="36"/>
    <row r="72" ht="15.75" customHeight="1" s="36"/>
    <row r="73" ht="15.75" customHeight="1" s="36"/>
    <row r="74" ht="15.75" customHeight="1" s="36"/>
    <row r="75" ht="15.75" customHeight="1" s="36"/>
    <row r="76" ht="15.75" customHeight="1" s="36"/>
    <row r="77" ht="15.75" customHeight="1" s="36"/>
    <row r="78" ht="15.75" customHeight="1" s="36"/>
    <row r="79" ht="15.75" customHeight="1" s="36"/>
    <row r="80" ht="15.75" customHeight="1" s="36"/>
    <row r="81" ht="15.75" customHeight="1" s="36"/>
    <row r="82" ht="15.75" customHeight="1" s="36"/>
    <row r="83" ht="15.75" customHeight="1" s="36"/>
    <row r="84" ht="15.75" customHeight="1" s="36"/>
    <row r="85" ht="15.75" customHeight="1" s="36"/>
    <row r="86" ht="15.75" customHeight="1" s="36"/>
    <row r="87" ht="15.75" customHeight="1" s="36"/>
    <row r="88" ht="15.75" customHeight="1" s="36"/>
    <row r="89" ht="15.75" customHeight="1" s="36"/>
    <row r="90" ht="15.75" customHeight="1" s="36"/>
    <row r="91" ht="15.75" customHeight="1" s="36"/>
    <row r="92" ht="15.75" customHeight="1" s="36"/>
    <row r="93" ht="15.75" customHeight="1" s="36"/>
    <row r="94" ht="15.75" customHeight="1" s="36"/>
    <row r="95" ht="15.75" customHeight="1" s="36"/>
    <row r="96" ht="15.75" customHeight="1" s="36"/>
    <row r="97" ht="15.75" customHeight="1" s="36"/>
    <row r="98" ht="15.75" customHeight="1" s="36"/>
    <row r="99" ht="15.75" customHeight="1" s="36"/>
    <row r="100" ht="15.75" customHeight="1" s="36"/>
    <row r="101" ht="15.75" customHeight="1" s="36"/>
    <row r="102" ht="15.75" customHeight="1" s="36"/>
    <row r="103" ht="15.75" customHeight="1" s="36"/>
    <row r="104" ht="15.75" customHeight="1" s="36"/>
    <row r="105" ht="15.75" customHeight="1" s="36"/>
    <row r="106" ht="15.75" customHeight="1" s="36"/>
    <row r="107" ht="15.75" customHeight="1" s="36"/>
    <row r="108" ht="15.75" customHeight="1" s="36"/>
    <row r="109" ht="15.75" customHeight="1" s="36"/>
    <row r="110" ht="15.75" customHeight="1" s="36"/>
    <row r="111" ht="15.75" customHeight="1" s="36"/>
    <row r="112" ht="15.75" customHeight="1" s="36"/>
    <row r="113" ht="15.75" customHeight="1" s="36"/>
    <row r="114" ht="15.75" customHeight="1" s="36"/>
    <row r="115" ht="15.75" customHeight="1" s="36"/>
    <row r="116" ht="15.75" customHeight="1" s="36"/>
    <row r="117" ht="15.75" customHeight="1" s="36"/>
    <row r="118" ht="15.75" customHeight="1" s="36"/>
    <row r="119" ht="15.75" customHeight="1" s="36"/>
    <row r="120" ht="15.75" customHeight="1" s="36"/>
    <row r="121" ht="15.75" customHeight="1" s="36"/>
    <row r="122" ht="15.75" customHeight="1" s="36"/>
    <row r="123" ht="15.75" customHeight="1" s="36"/>
    <row r="124" ht="15.75" customHeight="1" s="36"/>
    <row r="125" ht="15.75" customHeight="1" s="36"/>
    <row r="126" ht="15.75" customHeight="1" s="36"/>
    <row r="127" ht="15.75" customHeight="1" s="36"/>
    <row r="128" ht="15.75" customHeight="1" s="36"/>
    <row r="129" ht="15.75" customHeight="1" s="36"/>
    <row r="130" ht="15.75" customHeight="1" s="36"/>
    <row r="131" ht="15.75" customHeight="1" s="36"/>
    <row r="132" ht="15.75" customHeight="1" s="36"/>
    <row r="133" ht="15.75" customHeight="1" s="36"/>
    <row r="134" ht="15.75" customHeight="1" s="36"/>
    <row r="135" ht="15.75" customHeight="1" s="36"/>
    <row r="136" ht="15.75" customHeight="1" s="36"/>
    <row r="137" ht="15.75" customHeight="1" s="36"/>
    <row r="138" ht="15.75" customHeight="1" s="36"/>
    <row r="139" ht="15.75" customHeight="1" s="36"/>
    <row r="140" ht="15.75" customHeight="1" s="36"/>
    <row r="141" ht="15.75" customHeight="1" s="36"/>
    <row r="142" ht="15.75" customHeight="1" s="36"/>
    <row r="143" ht="15.75" customHeight="1" s="36"/>
    <row r="144" ht="15.75" customHeight="1" s="36"/>
    <row r="145" ht="15.75" customHeight="1" s="36"/>
    <row r="146" ht="15.75" customHeight="1" s="36"/>
    <row r="147" ht="15.75" customHeight="1" s="36"/>
    <row r="148" ht="15.75" customHeight="1" s="36"/>
    <row r="149" ht="15.75" customHeight="1" s="36"/>
    <row r="150" ht="15.75" customHeight="1" s="36"/>
    <row r="151" ht="15.75" customHeight="1" s="36"/>
    <row r="152" ht="15.75" customHeight="1" s="36"/>
    <row r="153" ht="15.75" customHeight="1" s="36"/>
    <row r="154" ht="15.75" customHeight="1" s="36"/>
    <row r="155" ht="15.75" customHeight="1" s="36"/>
    <row r="156" ht="15.75" customHeight="1" s="36"/>
    <row r="157" ht="15.75" customHeight="1" s="36"/>
    <row r="158" ht="15.75" customHeight="1" s="36"/>
    <row r="159" ht="15.75" customHeight="1" s="36"/>
    <row r="160" ht="15.75" customHeight="1" s="36"/>
    <row r="161" ht="15.75" customHeight="1" s="36"/>
    <row r="162" ht="15.75" customHeight="1" s="36"/>
    <row r="163" ht="15.75" customHeight="1" s="36"/>
    <row r="164" ht="15.75" customHeight="1" s="36"/>
    <row r="165" ht="15.75" customHeight="1" s="36"/>
    <row r="166" ht="15.75" customHeight="1" s="36"/>
    <row r="167" ht="15.75" customHeight="1" s="36"/>
    <row r="168" ht="15.75" customHeight="1" s="36"/>
    <row r="169" ht="15.75" customHeight="1" s="36"/>
    <row r="170" ht="15.75" customHeight="1" s="36"/>
    <row r="171" ht="15.75" customHeight="1" s="36"/>
    <row r="172" ht="15.75" customHeight="1" s="36"/>
    <row r="173" ht="15.75" customHeight="1" s="36"/>
    <row r="174" ht="15.75" customHeight="1" s="36"/>
    <row r="175" ht="15.75" customHeight="1" s="36"/>
    <row r="176" ht="15.75" customHeight="1" s="36"/>
    <row r="177" ht="15.75" customHeight="1" s="36"/>
    <row r="178" ht="15.75" customHeight="1" s="36"/>
    <row r="179" ht="15.75" customHeight="1" s="36"/>
    <row r="180" ht="15.75" customHeight="1" s="36"/>
    <row r="181" ht="15.75" customHeight="1" s="36"/>
    <row r="182" ht="15.75" customHeight="1" s="36"/>
    <row r="183" ht="15.75" customHeight="1" s="36"/>
    <row r="184" ht="15.75" customHeight="1" s="36"/>
    <row r="185" ht="15.75" customHeight="1" s="36"/>
    <row r="186" ht="15.75" customHeight="1" s="36"/>
    <row r="187" ht="15.75" customHeight="1" s="36"/>
    <row r="188" ht="15.75" customHeight="1" s="36"/>
    <row r="189" ht="15.75" customHeight="1" s="36"/>
    <row r="190" ht="15.75" customHeight="1" s="36"/>
    <row r="191" ht="15.75" customHeight="1" s="36"/>
    <row r="192" ht="15.75" customHeight="1" s="36"/>
    <row r="193" ht="15.75" customHeight="1" s="36"/>
    <row r="194" ht="15.75" customHeight="1" s="36"/>
    <row r="195" ht="15.75" customHeight="1" s="36"/>
    <row r="196" ht="15.75" customHeight="1" s="36"/>
    <row r="197" ht="15.75" customHeight="1" s="36"/>
    <row r="198" ht="15.75" customHeight="1" s="36"/>
    <row r="199" ht="15.75" customHeight="1" s="36"/>
    <row r="200" ht="15.75" customHeight="1" s="36"/>
    <row r="201" ht="15.75" customHeight="1" s="36"/>
    <row r="202" ht="15.75" customHeight="1" s="36"/>
    <row r="203" ht="15.75" customHeight="1" s="36"/>
    <row r="204" ht="15.75" customHeight="1" s="36"/>
    <row r="205" ht="15.75" customHeight="1" s="36"/>
    <row r="206" ht="15.75" customHeight="1" s="36"/>
    <row r="207" ht="15.75" customHeight="1" s="36"/>
    <row r="208" ht="15.75" customHeight="1" s="36"/>
    <row r="209" ht="15.75" customHeight="1" s="36"/>
    <row r="210" ht="15.75" customHeight="1" s="36"/>
    <row r="211" ht="15.75" customHeight="1" s="36"/>
    <row r="212" ht="15.75" customHeight="1" s="36"/>
    <row r="213" ht="15.75" customHeight="1" s="36"/>
    <row r="214" ht="15.75" customHeight="1" s="36"/>
    <row r="215" ht="15.75" customHeight="1" s="36"/>
    <row r="216" ht="15.75" customHeight="1" s="36"/>
    <row r="217" ht="15.75" customHeight="1" s="36"/>
    <row r="218" ht="15.75" customHeight="1" s="36"/>
    <row r="219" ht="15.75" customHeight="1" s="36"/>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2026-06-25T11:38:17Z</dcterms:created>
  <dcterms:modified xmlns:dcterms="http://purl.org/dc/terms/" xmlns:xsi="http://www.w3.org/2001/XMLSchema-instance" xsi:type="dcterms:W3CDTF">2026-06-25T11:44:19Z</dcterms:modified>
</cp:coreProperties>
</file>